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210513563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fec86c2fded340cf"/>
    <x:sheet xmlns:r="http://schemas.openxmlformats.org/officeDocument/2006/relationships" name="Аналитика" sheetId="2" r:id="R5a385c51dc79458e"/>
    <x:sheet xmlns:r="http://schemas.openxmlformats.org/officeDocument/2006/relationships" name="Ошибки" sheetId="3" r:id="Rf025ed50ac63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₽&quot;"/>
  </x:numFmts>
  <x:fonts count="12">
    <x:font>
      <x:sz val="11"/>
      <x:name val="Carlito"/>
    </x:font>
    <x:font>
      <x:b/>
      <x:sz val="20"/>
      <x:color rgb="FFFFFFFF"/>
      <x:name val="Carlito"/>
    </x:font>
    <x:font>
      <x:sz val="10"/>
      <x:color rgb="FFBED6E4"/>
      <x:name val="Carlito"/>
    </x:font>
    <x:font>
      <x:b/>
      <x:sz val="9"/>
      <x:color rgb="FF667C91"/>
      <x:name val="Carlito"/>
    </x:font>
    <x:font>
      <x:b/>
      <x:sz val="18"/>
      <x:color rgb="FF14263B"/>
      <x:name val="Carlito"/>
    </x:font>
    <x:font>
      <x:b/>
      <x:sz val="10"/>
      <x:color rgb="FFFFFFFF"/>
      <x:name val="Carlito"/>
    </x:font>
    <x:font>
      <x:sz val="10"/>
      <x:color rgb="FF253A4D"/>
      <x:name val="Carlito"/>
    </x:font>
    <x:font>
      <x:b/>
      <x:sz val="10"/>
      <x:color rgb="FFB33D47"/>
      <x:name val="Carlito"/>
    </x:font>
    <x:font>
      <x:b/>
      <x:sz val="11"/>
      <x:color rgb="FFFFFFFF"/>
      <x:name val="Carlito"/>
    </x:font>
    <x:font>
      <x:sz val="11"/>
      <x:color rgb="FF253A4D"/>
      <x:name val="Carlito"/>
    </x:font>
    <x:font>
      <x:b/>
      <x:sz val="11"/>
      <x:color rgb="FF876218"/>
      <x:name val="Carlito"/>
    </x:font>
    <x:font>
      <x:b/>
      <x:sz val="11"/>
      <x:color rgb="FFB33D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63B"/>
      </x:patternFill>
    </x:fill>
    <x:fill>
      <x:patternFill patternType="solid">
        <x:fgColor rgb="FF213951"/>
      </x:patternFill>
    </x:fill>
    <x:fill>
      <x:patternFill patternType="solid">
        <x:fgColor rgb="FFF4F7FB"/>
      </x:patternFill>
    </x:fill>
    <x:fill>
      <x:patternFill patternType="solid">
        <x:fgColor rgb="FF087E83"/>
      </x:patternFill>
    </x:fill>
    <x:fill>
      <x:patternFill patternType="solid">
        <x:fgColor rgb="FFFCE8E8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0" fontId="9" fillId="7" borderId="0" xfId="0" applyNumberFormat="1" applyFont="1" applyFill="1" applyBorder="1"/>
    <x:xf numFmtId="200" fontId="9" fillId="4" borderId="0" xfId="0" applyNumberFormat="1" applyFont="1" applyFill="1" applyBorder="1"/>
    <x:xf numFmtId="200" fontId="9" fillId="7" borderId="1" xfId="0" applyNumberFormat="1" applyFont="1" applyFill="1" applyBorder="1"/>
    <x:xf numFmtId="200" fontId="9" fillId="4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200" fontId="8" fillId="3" borderId="0" xfId="0" applyNumberFormat="1" applyFont="1" applyFill="1" applyBorder="1"/>
    <x:xf numFmtId="200" fontId="8" fillId="3" borderId="1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11" fillId="6" borderId="0" xfId="0" applyNumberFormat="1" applyFont="1" applyFill="1" applyBorder="1"/>
    <x:xf numFmtId="0" fontId="9" fillId="6" borderId="1" xfId="0" applyNumberFormat="1" applyFont="1" applyFill="1" applyBorder="1"/>
    <x:xf numFmtId="0" fontId="11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8a6bed515484c" /><Relationship Type="http://schemas.openxmlformats.org/officeDocument/2006/relationships/theme" Target="/xl/theme/theme1.xml" Id="Rd06465498c1e4572" /><Relationship Type="http://schemas.openxmlformats.org/officeDocument/2006/relationships/sharedStrings" Target="/xl/sharedStrings.xml" Id="R038183987d384c58" /><Relationship Type="http://schemas.openxmlformats.org/officeDocument/2006/relationships/worksheet" Target="/xl/worksheets/sheet1.xml" Id="Rfec86c2fded340cf" /><Relationship Type="http://schemas.openxmlformats.org/officeDocument/2006/relationships/worksheet" Target="/xl/worksheets/sheet2.xml" Id="R5a385c51dc79458e" /><Relationship Type="http://schemas.openxmlformats.org/officeDocument/2006/relationships/worksheet" Target="/xl/worksheets/sheet3.xml" Id="Rf025ed50ac6341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de1c20b5bf428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Сотрудники</c:v>
          </c:tx>
          <c:cat>
            <c:strRef>
              <c:f>'Аналитика'!$A$9:$A$20</c:f>
              <c:strCache>
                <c:ptCount val="0"/>
              </c:strCache>
            </c:strRef>
          </c:cat>
          <c:val>
            <c:numRef>
              <c:f>'Аналитика'!$B$9:$B$20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de1c20b5bf42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7955839bc43ff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36" hidden="0" customWidth="1"/>
    <x:col min="4" max="4" width="29" hidden="0" customWidth="1"/>
    <x:col min="5" max="5" width="38" hidden="0" customWidth="1"/>
    <x:col min="6" max="6" width="17" hidden="0" customWidth="1"/>
    <x:col min="7" max="7" width="41" hidden="0" customWidth="1"/>
    <x:col min="8" max="8" width="23" hidden="0" customWidth="1"/>
    <x:col min="9" max="9" width="18" hidden="0" customWidth="1"/>
    <x:col min="10" max="10" width="20" hidden="0" customWidth="1"/>
  </x:cols>
  <x:sheetData>
    <x:row r="1" ht="28" customHeight="1">
      <x:c r="A1" s="5" t="str">
        <x:v>HR / КАДРОВЫЙ РЕЕСТР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7" customHeight="1">
      <x:c r="A3" s="11" t="str">
        <x:v>ДЕМО-ОРГАНИЗАЦИЯ «СЕВЕРНЫЙ ВЕКТОР»   •   27 ОКТЯБРЯ 2026   •   ДАННЫЕ СИНТЕТИЧЕСКИЕ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0" customHeight="1"/>
    <x:row r="5" ht="22" customHeight="1">
      <x:c r="A5" s="17" t="str">
        <x:v>СОТРУДНИКОВ</x:v>
      </x:c>
      <x:c r="B5" s="17"/>
      <x:c r="D5" s="17" t="str">
        <x:v>ФОНД ОКЛАДОВ / МЕС</x:v>
      </x:c>
      <x:c r="E5" s="17"/>
      <x:c r="G5" s="17" t="str">
        <x:v>СРЕДНИЙ ОКЛАД</x:v>
      </x:c>
      <x:c r="H5" s="17"/>
      <x:c r="I5" s="17" t="str">
        <x:v>ПРОБЛЕМНЫХ КОНТАКТОВ</x:v>
      </x:c>
      <x:c r="J5" s="17"/>
    </x:row>
    <x:row r="6" ht="34" customHeight="1">
      <x:c r="A6" s="24" t="n">
        <x:f>COUNTA(B9:B2000)</x:f>
        <x:v>144</x:v>
      </x:c>
      <x:c r="B6" s="24"/>
      <x:c r="D6" s="28" t="n">
        <x:f>SUM(F9:F2000)</x:f>
        <x:v>14889000</x:v>
      </x:c>
      <x:c r="E6" s="24"/>
      <x:c r="G6" s="28" t="n">
        <x:f>IFERROR(AVERAGE(F9:F2000),0)</x:f>
        <x:v>103395.83333333333</x:v>
      </x:c>
      <x:c r="H6" s="24"/>
      <x:c r="I6" s="24" t="n">
        <x:f>COUNTIF(J9:J2000,"Ошибка")</x:f>
        <x:v>12</x:v>
      </x:c>
      <x:c r="J6" s="24"/>
    </x:row>
    <x:row r="7" ht="12" customHeight="1"/>
    <x:row r="8" ht="32" customHeight="1">
      <x:c r="A8" s="34" t="str">
        <x:v>ID</x:v>
      </x:c>
      <x:c r="B8" s="34" t="str">
        <x:v>Код</x:v>
      </x:c>
      <x:c r="C8" s="34" t="str">
        <x:v>ФИО</x:v>
      </x:c>
      <x:c r="D8" s="34" t="str">
        <x:v>Отдел</x:v>
      </x:c>
      <x:c r="E8" s="34" t="str">
        <x:v>Должность</x:v>
      </x:c>
      <x:c r="F8" s="34" t="str">
        <x:v>Оклад, ₽</x:v>
      </x:c>
      <x:c r="G8" s="34" t="str">
        <x:v>Email</x:v>
      </x:c>
      <x:c r="H8" s="34" t="str">
        <x:v>Телефон</x:v>
      </x:c>
      <x:c r="I8" s="34" t="str">
        <x:v>Дата приёма</x:v>
      </x:c>
      <x:c r="J8" s="34" t="str">
        <x:v>Проверка</x:v>
      </x:c>
    </x:row>
    <x:row r="9" ht="22" customHeight="1">
      <x:c r="A9" s="46" t="n">
        <x:v>1</x:v>
      </x:c>
      <x:c r="B9" s="46" t="str">
        <x:v>EMP-0001</x:v>
      </x:c>
      <x:c r="C9" s="41" t="str">
        <x:v>Волков Андрей Сергеевич</x:v>
      </x:c>
      <x:c r="D9" s="41" t="str">
        <x:v>Разработка ПО</x:v>
      </x:c>
      <x:c r="E9" s="41" t="str">
        <x:v>Python-разработчик</x:v>
      </x:c>
      <x:c r="F9" s="44" t="n">
        <x:v>114000</x:v>
      </x:c>
      <x:c r="G9" s="41" t="str">
        <x:v>andrey.volkov.001@example.org</x:v>
      </x:c>
      <x:c r="H9" s="41" t="str">
        <x:v>+7 (901) 201-01-07</x:v>
      </x:c>
      <x:c r="I9" s="46" t="str">
        <x:v>2016-02-17</x:v>
      </x:c>
      <x:c r="J9" s="46" t="str">
        <x:v>OK</x:v>
      </x:c>
    </x:row>
    <x:row r="10" ht="22" customHeight="1">
      <x:c r="A10" s="48" t="n">
        <x:v>2</x:v>
      </x:c>
      <x:c r="B10" s="48" t="str">
        <x:v>EMP-0002</x:v>
      </x:c>
      <x:c r="C10" s="49" t="str">
        <x:v>Макарова Ксения Дмитриевна</x:v>
      </x:c>
      <x:c r="D10" s="49" t="str">
        <x:v>Разработка ПО</x:v>
      </x:c>
      <x:c r="E10" s="49" t="str">
        <x:v>DevOps-инженер</x:v>
      </x:c>
      <x:c r="F10" s="50" t="n">
        <x:v>114000</x:v>
      </x:c>
      <x:c r="G10" s="49" t="str">
        <x:v>kseniya.makarova.002@example.org</x:v>
      </x:c>
      <x:c r="H10" s="49" t="str">
        <x:v>+7 (902) 202-02-14</x:v>
      </x:c>
      <x:c r="I10" s="48" t="str">
        <x:v>2019-04-15</x:v>
      </x:c>
      <x:c r="J10" s="48" t="str">
        <x:v>OK</x:v>
      </x:c>
    </x:row>
    <x:row r="11" ht="22" customHeight="1">
      <x:c r="A11" s="46" t="n">
        <x:v>3</x:v>
      </x:c>
      <x:c r="B11" s="46" t="str">
        <x:v>EMP-0003</x:v>
      </x:c>
      <x:c r="C11" s="41" t="str">
        <x:v>Соловьёв Тимофей Михайлович</x:v>
      </x:c>
      <x:c r="D11" s="41" t="str">
        <x:v>Разработка ПО</x:v>
      </x:c>
      <x:c r="E11" s="41" t="str">
        <x:v>Backend-разработчик</x:v>
      </x:c>
      <x:c r="F11" s="44" t="n">
        <x:v>142000</x:v>
      </x:c>
      <x:c r="G11" s="41" t="str">
        <x:v>timofey.solovev.003@example.org</x:v>
      </x:c>
      <x:c r="H11" s="41" t="str">
        <x:v>+7 (903) 203-03-21</x:v>
      </x:c>
      <x:c r="I11" s="46" t="str">
        <x:v>2019-03-21</x:v>
      </x:c>
      <x:c r="J11" s="46" t="str">
        <x:v>OK</x:v>
      </x:c>
    </x:row>
    <x:row r="12" ht="22" customHeight="1">
      <x:c r="A12" s="48" t="n">
        <x:v>4</x:v>
      </x:c>
      <x:c r="B12" s="48" t="str">
        <x:v>EMP-0004</x:v>
      </x:c>
      <x:c r="C12" s="49" t="str">
        <x:v>Новикова Ольга Алексеевна</x:v>
      </x:c>
      <x:c r="D12" s="49" t="str">
        <x:v>Разработка ПО</x:v>
      </x:c>
      <x:c r="E12" s="49" t="str">
        <x:v>Ведущий разработчик</x:v>
      </x:c>
      <x:c r="F12" s="50" t="n">
        <x:v>144000</x:v>
      </x:c>
      <x:c r="G12" s="49" t="str">
        <x:v>olga.novikova.004@example.org</x:v>
      </x:c>
      <x:c r="H12" s="49" t="str">
        <x:v>+7 (904) 204-04-28</x:v>
      </x:c>
      <x:c r="I12" s="48" t="str">
        <x:v>2017-04-12</x:v>
      </x:c>
      <x:c r="J12" s="48" t="str">
        <x:v>OK</x:v>
      </x:c>
    </x:row>
    <x:row r="13" ht="22" customHeight="1">
      <x:c r="A13" s="46" t="n">
        <x:v>5</x:v>
      </x:c>
      <x:c r="B13" s="46" t="str">
        <x:v>EMP-0005</x:v>
      </x:c>
      <x:c r="C13" s="41" t="str">
        <x:v>Николаев Роман Владимирович</x:v>
      </x:c>
      <x:c r="D13" s="41" t="str">
        <x:v>Разработка ПО</x:v>
      </x:c>
      <x:c r="E13" s="41" t="str">
        <x:v>QA-инженер</x:v>
      </x:c>
      <x:c r="F13" s="44" t="n">
        <x:v>118000</x:v>
      </x:c>
      <x:c r="G13" s="41" t="str">
        <x:v>roman.nikolaev.005@example.org</x:v>
      </x:c>
      <x:c r="H13" s="41" t="str">
        <x:v>+7 (900) 205-05-35</x:v>
      </x:c>
      <x:c r="I13" s="46" t="str">
        <x:v>2015-08-03</x:v>
      </x:c>
      <x:c r="J13" s="46" t="str">
        <x:v>OK</x:v>
      </x:c>
    </x:row>
    <x:row r="14" ht="22" customHeight="1">
      <x:c r="A14" s="48" t="n">
        <x:v>6</x:v>
      </x:c>
      <x:c r="B14" s="48" t="str">
        <x:v>EMP-0006</x:v>
      </x:c>
      <x:c r="C14" s="49" t="str">
        <x:v>Мельникова Кристина Игоревна</x:v>
      </x:c>
      <x:c r="D14" s="49" t="str">
        <x:v>Разработка ПО</x:v>
      </x:c>
      <x:c r="E14" s="49" t="str">
        <x:v>Python-разработчик</x:v>
      </x:c>
      <x:c r="F14" s="50" t="n">
        <x:v>106000</x:v>
      </x:c>
      <x:c r="G14" s="49" t="str">
        <x:v>kristina.melnikova.006@example.org</x:v>
      </x:c>
      <x:c r="H14" s="49" t="str">
        <x:v>+7 (901) 206-06-42</x:v>
      </x:c>
      <x:c r="I14" s="48" t="str">
        <x:v>2026-01-21</x:v>
      </x:c>
      <x:c r="J14" s="48" t="str">
        <x:v>OK</x:v>
      </x:c>
    </x:row>
    <x:row r="15" ht="22" customHeight="1">
      <x:c r="A15" s="46" t="n">
        <x:v>7</x:v>
      </x:c>
      <x:c r="B15" s="46" t="str">
        <x:v>EMP-0007</x:v>
      </x:c>
      <x:c r="C15" s="41" t="str">
        <x:v>Петров Дмитрий Павлович</x:v>
      </x:c>
      <x:c r="D15" s="41" t="str">
        <x:v>Разработка ПО</x:v>
      </x:c>
      <x:c r="E15" s="41" t="str">
        <x:v>DevOps-инженер</x:v>
      </x:c>
      <x:c r="F15" s="44" t="n">
        <x:v>130000</x:v>
      </x:c>
      <x:c r="G15" s="41" t="str">
        <x:v>dmitriy.petrov.007@example.org</x:v>
      </x:c>
      <x:c r="H15" s="41" t="str">
        <x:v>+7 (902) 207-07-49</x:v>
      </x:c>
      <x:c r="I15" s="46" t="str">
        <x:v>2024-06-06</x:v>
      </x:c>
      <x:c r="J15" s="46" t="str">
        <x:v>OK</x:v>
      </x:c>
    </x:row>
    <x:row r="16" ht="22" customHeight="1">
      <x:c r="A16" s="48" t="n">
        <x:v>8</x:v>
      </x:c>
      <x:c r="B16" s="48" t="str">
        <x:v>EMP-0008</x:v>
      </x:c>
      <x:c r="C16" s="49" t="str">
        <x:v>Павлова Виктория Олеговна</x:v>
      </x:c>
      <x:c r="D16" s="49" t="str">
        <x:v>Разработка ПО</x:v>
      </x:c>
      <x:c r="E16" s="49" t="str">
        <x:v>Backend-разработчик</x:v>
      </x:c>
      <x:c r="F16" s="50" t="n">
        <x:v>138000</x:v>
      </x:c>
      <x:c r="G16" s="49" t="str">
        <x:v>viktoriya.pavlova.008@example.org</x:v>
      </x:c>
      <x:c r="H16" s="49" t="str">
        <x:v>+7 (903) 208-08-56</x:v>
      </x:c>
      <x:c r="I16" s="48" t="str">
        <x:v>2015-12-05</x:v>
      </x:c>
      <x:c r="J16" s="48" t="str">
        <x:v>OK</x:v>
      </x:c>
    </x:row>
    <x:row r="17" ht="22" customHeight="1">
      <x:c r="A17" s="46" t="n">
        <x:v>9</x:v>
      </x:c>
      <x:c r="B17" s="46" t="str">
        <x:v>EMP-0009</x:v>
      </x:c>
      <x:c r="C17" s="41" t="str">
        <x:v>Белов Денис Николаевич</x:v>
      </x:c>
      <x:c r="D17" s="41" t="str">
        <x:v>Разработка ПО</x:v>
      </x:c>
      <x:c r="E17" s="41" t="str">
        <x:v>Ведущий разработчик</x:v>
      </x:c>
      <x:c r="F17" s="44" t="n">
        <x:v>124000</x:v>
      </x:c>
      <x:c r="G17" s="41" t="str">
        <x:v>denis.belov.009@example.org</x:v>
      </x:c>
      <x:c r="H17" s="41" t="str">
        <x:v>+7 (904) 209-09-63</x:v>
      </x:c>
      <x:c r="I17" s="46" t="str">
        <x:v>2024-09-21</x:v>
      </x:c>
      <x:c r="J17" s="46" t="str">
        <x:v>OK</x:v>
      </x:c>
    </x:row>
    <x:row r="18" ht="22" customHeight="1">
      <x:c r="A18" s="48" t="n">
        <x:v>10</x:v>
      </x:c>
      <x:c r="B18" s="48" t="str">
        <x:v>EMP-0010</x:v>
      </x:c>
      <x:c r="C18" s="49" t="str">
        <x:v>Кузнецова Диана Андреевна</x:v>
      </x:c>
      <x:c r="D18" s="49" t="str">
        <x:v>Разработка ПО</x:v>
      </x:c>
      <x:c r="E18" s="49" t="str">
        <x:v>QA-инженер</x:v>
      </x:c>
      <x:c r="F18" s="50" t="n">
        <x:v>118000</x:v>
      </x:c>
      <x:c r="G18" s="49" t="str">
        <x:v>diana.kuznetsova.010@example.org</x:v>
      </x:c>
      <x:c r="H18" s="49" t="str">
        <x:v>+7 (900) 210-10-70</x:v>
      </x:c>
      <x:c r="I18" s="48" t="str">
        <x:v>2026-02-08</x:v>
      </x:c>
      <x:c r="J18" s="48" t="str">
        <x:v>OK</x:v>
      </x:c>
    </x:row>
    <x:row r="19" ht="22" customHeight="1">
      <x:c r="A19" s="46" t="n">
        <x:v>11</x:v>
      </x:c>
      <x:c r="B19" s="46" t="str">
        <x:v>EMP-0011</x:v>
      </x:c>
      <x:c r="C19" s="41" t="str">
        <x:v>Лебедев Михаил Викторович</x:v>
      </x:c>
      <x:c r="D19" s="41" t="str">
        <x:v>Разработка ПО</x:v>
      </x:c>
      <x:c r="E19" s="41" t="str">
        <x:v>Python-разработчик</x:v>
      </x:c>
      <x:c r="F19" s="44" t="n">
        <x:v>118000</x:v>
      </x:c>
      <x:c r="G19" s="41" t="str">
        <x:v>mihail.lebedev.011@example.org</x:v>
      </x:c>
      <x:c r="H19" s="58" t="str">
        <x:v>8 (900) 000-00-11</x:v>
      </x:c>
      <x:c r="I19" s="46" t="str">
        <x:v>2020-09-30</x:v>
      </x:c>
      <x:c r="J19" s="55" t="str">
        <x:v>Ошибка</x:v>
      </x:c>
    </x:row>
    <x:row r="20" ht="22" customHeight="1">
      <x:c r="A20" s="48" t="n">
        <x:v>12</x:v>
      </x:c>
      <x:c r="B20" s="48" t="str">
        <x:v>EMP-0012</x:v>
      </x:c>
      <x:c r="C20" s="49" t="str">
        <x:v>Киселёва Дарья Александровна</x:v>
      </x:c>
      <x:c r="D20" s="49" t="str">
        <x:v>Разработка ПО</x:v>
      </x:c>
      <x:c r="E20" s="49" t="str">
        <x:v>DevOps-инженер</x:v>
      </x:c>
      <x:c r="F20" s="50" t="n">
        <x:v>130000</x:v>
      </x:c>
      <x:c r="G20" s="49" t="str">
        <x:v>darya.kiseleva.012@example.org</x:v>
      </x:c>
      <x:c r="H20" s="49" t="str">
        <x:v>+7 (902) 212-12-84</x:v>
      </x:c>
      <x:c r="I20" s="48" t="str">
        <x:v>2018-11-21</x:v>
      </x:c>
      <x:c r="J20" s="48" t="str">
        <x:v>OK</x:v>
      </x:c>
    </x:row>
    <x:row r="21" ht="22" customHeight="1">
      <x:c r="A21" s="46" t="n">
        <x:v>13</x:v>
      </x:c>
      <x:c r="B21" s="46" t="str">
        <x:v>EMP-0013</x:v>
      </x:c>
      <x:c r="C21" s="41" t="str">
        <x:v>Данилов Иван Сергеевич</x:v>
      </x:c>
      <x:c r="D21" s="41" t="str">
        <x:v>Разработка ПО</x:v>
      </x:c>
      <x:c r="E21" s="41" t="str">
        <x:v>Backend-разработчик</x:v>
      </x:c>
      <x:c r="F21" s="44" t="n">
        <x:v>118000</x:v>
      </x:c>
      <x:c r="G21" s="41" t="str">
        <x:v>ivan.danilov.013@example.org</x:v>
      </x:c>
      <x:c r="H21" s="41" t="str">
        <x:v>+7 (903) 213-13-91</x:v>
      </x:c>
      <x:c r="I21" s="46" t="str">
        <x:v>2025-11-23</x:v>
      </x:c>
      <x:c r="J21" s="46" t="str">
        <x:v>OK</x:v>
      </x:c>
    </x:row>
    <x:row r="22" ht="22" customHeight="1">
      <x:c r="A22" s="48" t="n">
        <x:v>14</x:v>
      </x:c>
      <x:c r="B22" s="48" t="str">
        <x:v>EMP-0014</x:v>
      </x:c>
      <x:c r="C22" s="49" t="str">
        <x:v>Морозова Мария Дмитриевна</x:v>
      </x:c>
      <x:c r="D22" s="49" t="str">
        <x:v>Разработка ПО</x:v>
      </x:c>
      <x:c r="E22" s="49" t="str">
        <x:v>Ведущий разработчик</x:v>
      </x:c>
      <x:c r="F22" s="50" t="n">
        <x:v>140000</x:v>
      </x:c>
      <x:c r="G22" s="49" t="str">
        <x:v>mariya.morozova.014@example.org</x:v>
      </x:c>
      <x:c r="H22" s="49" t="str">
        <x:v>+7 (904) 214-14-98</x:v>
      </x:c>
      <x:c r="I22" s="48" t="str">
        <x:v>2024-02-26</x:v>
      </x:c>
      <x:c r="J22" s="48" t="str">
        <x:v>OK</x:v>
      </x:c>
    </x:row>
    <x:row r="23" ht="22" customHeight="1">
      <x:c r="A23" s="46" t="n">
        <x:v>15</x:v>
      </x:c>
      <x:c r="B23" s="46" t="str">
        <x:v>EMP-0015</x:v>
      </x:c>
      <x:c r="C23" s="41" t="str">
        <x:v>Андреев Павел Михайлович</x:v>
      </x:c>
      <x:c r="D23" s="41" t="str">
        <x:v>Разработка ПО</x:v>
      </x:c>
      <x:c r="E23" s="41" t="str">
        <x:v>QA-инженер</x:v>
      </x:c>
      <x:c r="F23" s="44" t="n">
        <x:v>114000</x:v>
      </x:c>
      <x:c r="G23" s="41" t="str">
        <x:v>pavel.andreev.015@example.org</x:v>
      </x:c>
      <x:c r="H23" s="41" t="str">
        <x:v>+7 (900) 215-15-05</x:v>
      </x:c>
      <x:c r="I23" s="46" t="str">
        <x:v>2020-10-31</x:v>
      </x:c>
      <x:c r="J23" s="46" t="str">
        <x:v>OK</x:v>
      </x:c>
    </x:row>
    <x:row r="24" ht="22" customHeight="1">
      <x:c r="A24" s="48" t="n">
        <x:v>16</x:v>
      </x:c>
      <x:c r="B24" s="48" t="str">
        <x:v>EMP-0016</x:v>
      </x:c>
      <x:c r="C24" s="49" t="str">
        <x:v>Гаврилова Вероника Алексеевна</x:v>
      </x:c>
      <x:c r="D24" s="49" t="str">
        <x:v>Разработка ПО</x:v>
      </x:c>
      <x:c r="E24" s="49" t="str">
        <x:v>Python-разработчик</x:v>
      </x:c>
      <x:c r="F24" s="50" t="n">
        <x:v>126000</x:v>
      </x:c>
      <x:c r="G24" s="49" t="str">
        <x:v>veronika.gavrilova.016@example.org</x:v>
      </x:c>
      <x:c r="H24" s="49" t="str">
        <x:v>+7 (901) 216-16-12</x:v>
      </x:c>
      <x:c r="I24" s="48" t="str">
        <x:v>2022-02-28</x:v>
      </x:c>
      <x:c r="J24" s="48" t="str">
        <x:v>OK</x:v>
      </x:c>
    </x:row>
    <x:row r="25" ht="22" customHeight="1">
      <x:c r="A25" s="46" t="n">
        <x:v>17</x:v>
      </x:c>
      <x:c r="B25" s="46" t="str">
        <x:v>EMP-0017</x:v>
      </x:c>
      <x:c r="C25" s="41" t="str">
        <x:v>Михайлов Арсений Владимирович</x:v>
      </x:c>
      <x:c r="D25" s="41" t="str">
        <x:v>Разработка ПО</x:v>
      </x:c>
      <x:c r="E25" s="41" t="str">
        <x:v>DevOps-инженер</x:v>
      </x:c>
      <x:c r="F25" s="44" t="n">
        <x:v>110000</x:v>
      </x:c>
      <x:c r="G25" s="41" t="str">
        <x:v>arseniy.mihaylov.017@example.org</x:v>
      </x:c>
      <x:c r="H25" s="41" t="str">
        <x:v>+7 (902) 217-17-19</x:v>
      </x:c>
      <x:c r="I25" s="46" t="str">
        <x:v>2015-04-09</x:v>
      </x:c>
      <x:c r="J25" s="46" t="str">
        <x:v>OK</x:v>
      </x:c>
    </x:row>
    <x:row r="26" ht="22" customHeight="1">
      <x:c r="A26" s="48" t="n">
        <x:v>18</x:v>
      </x:c>
      <x:c r="B26" s="48" t="str">
        <x:v>EMP-0018</x:v>
      </x:c>
      <x:c r="C26" s="49" t="str">
        <x:v>Степанова Ирина Игоревна</x:v>
      </x:c>
      <x:c r="D26" s="49" t="str">
        <x:v>Разработка ПО</x:v>
      </x:c>
      <x:c r="E26" s="49" t="str">
        <x:v>Backend-разработчик</x:v>
      </x:c>
      <x:c r="F26" s="50" t="n">
        <x:v>110000</x:v>
      </x:c>
      <x:c r="G26" s="58" t="str">
        <x:v>mail-without-at.example.org</x:v>
      </x:c>
      <x:c r="H26" s="49" t="str">
        <x:v>+7 (903) 218-18-26</x:v>
      </x:c>
      <x:c r="I26" s="48" t="str">
        <x:v>2019-10-29</x:v>
      </x:c>
      <x:c r="J26" s="55" t="str">
        <x:v>Ошибка</x:v>
      </x:c>
    </x:row>
    <x:row r="27" ht="22" customHeight="1">
      <x:c r="A27" s="46" t="n">
        <x:v>19</x:v>
      </x:c>
      <x:c r="B27" s="46" t="str">
        <x:v>EMP-0019</x:v>
      </x:c>
      <x:c r="C27" s="41" t="str">
        <x:v>Мельникова Ксения Николаевна</x:v>
      </x:c>
      <x:c r="D27" s="41" t="str">
        <x:v>Аналитика</x:v>
      </x:c>
      <x:c r="E27" s="41" t="str">
        <x:v>Бизнес-аналитик</x:v>
      </x:c>
      <x:c r="F27" s="44" t="n">
        <x:v>107000</x:v>
      </x:c>
      <x:c r="G27" s="41" t="str">
        <x:v>kseniya.melnikova.019@example.org</x:v>
      </x:c>
      <x:c r="H27" s="41" t="str">
        <x:v>+7 (910) 219-19-33</x:v>
      </x:c>
      <x:c r="I27" s="46" t="str">
        <x:v>2021-11-17</x:v>
      </x:c>
      <x:c r="J27" s="46" t="str">
        <x:v>OK</x:v>
      </x:c>
    </x:row>
    <x:row r="28" ht="22" customHeight="1">
      <x:c r="A28" s="48" t="n">
        <x:v>20</x:v>
      </x:c>
      <x:c r="B28" s="48" t="str">
        <x:v>EMP-0020</x:v>
      </x:c>
      <x:c r="C28" s="49" t="str">
        <x:v>Петров Тимофей Андреевич</x:v>
      </x:c>
      <x:c r="D28" s="49" t="str">
        <x:v>Аналитика</x:v>
      </x:c>
      <x:c r="E28" s="49" t="str">
        <x:v>Аналитик данных</x:v>
      </x:c>
      <x:c r="F28" s="50" t="n">
        <x:v>127000</x:v>
      </x:c>
      <x:c r="G28" s="49" t="str">
        <x:v>timofey.petrov.020@example.org</x:v>
      </x:c>
      <x:c r="H28" s="49" t="str">
        <x:v>+7 (906) 220-20-40</x:v>
      </x:c>
      <x:c r="I28" s="48" t="str">
        <x:v>2019-03-31</x:v>
      </x:c>
      <x:c r="J28" s="48" t="str">
        <x:v>OK</x:v>
      </x:c>
    </x:row>
    <x:row r="29" ht="22" customHeight="1">
      <x:c r="A29" s="46" t="n">
        <x:v>21</x:v>
      </x:c>
      <x:c r="B29" s="46" t="str">
        <x:v>EMP-0021</x:v>
      </x:c>
      <x:c r="C29" s="41" t="str">
        <x:v>Павлова Ольга Викторовна</x:v>
      </x:c>
      <x:c r="D29" s="41" t="str">
        <x:v>Аналитика</x:v>
      </x:c>
      <x:c r="E29" s="41" t="str">
        <x:v>BI-аналитик</x:v>
      </x:c>
      <x:c r="F29" s="44" t="n">
        <x:v>107000</x:v>
      </x:c>
      <x:c r="G29" s="41" t="str">
        <x:v>olga.pavlova.021@example.org</x:v>
      </x:c>
      <x:c r="H29" s="41" t="str">
        <x:v>+7 (907) 221-21-47</x:v>
      </x:c>
      <x:c r="I29" s="46" t="str">
        <x:v>2016-11-19</x:v>
      </x:c>
      <x:c r="J29" s="46" t="str">
        <x:v>OK</x:v>
      </x:c>
    </x:row>
    <x:row r="30" ht="22" customHeight="1">
      <x:c r="A30" s="48" t="n">
        <x:v>22</x:v>
      </x:c>
      <x:c r="B30" s="48" t="str">
        <x:v>EMP-0022</x:v>
      </x:c>
      <x:c r="C30" s="49" t="str">
        <x:v>Белов Роман Александрович</x:v>
      </x:c>
      <x:c r="D30" s="49" t="str">
        <x:v>Аналитика</x:v>
      </x:c>
      <x:c r="E30" s="49" t="str">
        <x:v>Системный аналитик</x:v>
      </x:c>
      <x:c r="F30" s="50" t="n">
        <x:v>107000</x:v>
      </x:c>
      <x:c r="G30" s="49" t="str">
        <x:v>roman.belov.022@example.org</x:v>
      </x:c>
      <x:c r="H30" s="49" t="str">
        <x:v>+7 (908) 222-22-54</x:v>
      </x:c>
      <x:c r="I30" s="48" t="str">
        <x:v>2018-05-13</x:v>
      </x:c>
      <x:c r="J30" s="48" t="str">
        <x:v>OK</x:v>
      </x:c>
    </x:row>
    <x:row r="31" ht="22" customHeight="1">
      <x:c r="A31" s="46" t="n">
        <x:v>23</x:v>
      </x:c>
      <x:c r="B31" s="46" t="str">
        <x:v>EMP-0023</x:v>
      </x:c>
      <x:c r="C31" s="41" t="str">
        <x:v>Кузнецова Кристина Сергеевна</x:v>
      </x:c>
      <x:c r="D31" s="41" t="str">
        <x:v>Аналитика</x:v>
      </x:c>
      <x:c r="E31" s="41" t="str">
        <x:v>Бизнес-аналитик</x:v>
      </x:c>
      <x:c r="F31" s="44" t="n">
        <x:v>123000</x:v>
      </x:c>
      <x:c r="G31" s="41" t="str">
        <x:v>kristina.kuznetsova.023@example.org</x:v>
      </x:c>
      <x:c r="H31" s="41" t="str">
        <x:v>+7 (909) 223-23-61</x:v>
      </x:c>
      <x:c r="I31" s="46" t="str">
        <x:v>2023-10-09</x:v>
      </x:c>
      <x:c r="J31" s="46" t="str">
        <x:v>OK</x:v>
      </x:c>
    </x:row>
    <x:row r="32" ht="22" customHeight="1">
      <x:c r="A32" s="48" t="n">
        <x:v>24</x:v>
      </x:c>
      <x:c r="B32" s="48" t="str">
        <x:v>EMP-0024</x:v>
      </x:c>
      <x:c r="C32" s="49" t="str">
        <x:v>Лебедев Дмитрий Дмитриевич</x:v>
      </x:c>
      <x:c r="D32" s="49" t="str">
        <x:v>Аналитика</x:v>
      </x:c>
      <x:c r="E32" s="49" t="str">
        <x:v>Аналитик данных</x:v>
      </x:c>
      <x:c r="F32" s="50" t="n">
        <x:v>111000</x:v>
      </x:c>
      <x:c r="G32" s="49" t="str">
        <x:v>dmitriy.lebedev.024@example.org</x:v>
      </x:c>
      <x:c r="H32" s="49" t="str">
        <x:v>+7 (910) 224-24-68</x:v>
      </x:c>
      <x:c r="I32" s="48" t="str">
        <x:v>2023-03-22</x:v>
      </x:c>
      <x:c r="J32" s="48" t="str">
        <x:v>OK</x:v>
      </x:c>
    </x:row>
    <x:row r="33" ht="22" customHeight="1">
      <x:c r="A33" s="46" t="n">
        <x:v>25</x:v>
      </x:c>
      <x:c r="B33" s="46" t="str">
        <x:v>EMP-0025</x:v>
      </x:c>
      <x:c r="C33" s="41" t="str">
        <x:v>Киселёва Виктория Михайловна</x:v>
      </x:c>
      <x:c r="D33" s="41" t="str">
        <x:v>Аналитика</x:v>
      </x:c>
      <x:c r="E33" s="41" t="str">
        <x:v>BI-аналитик</x:v>
      </x:c>
      <x:c r="F33" s="44" t="n">
        <x:v>127000</x:v>
      </x:c>
      <x:c r="G33" s="41" t="str">
        <x:v>viktoriya.kiseleva.025@example.org</x:v>
      </x:c>
      <x:c r="H33" s="41" t="str">
        <x:v>+7 (906) 225-25-75</x:v>
      </x:c>
      <x:c r="I33" s="46" t="str">
        <x:v>2017-03-05</x:v>
      </x:c>
      <x:c r="J33" s="46" t="str">
        <x:v>OK</x:v>
      </x:c>
    </x:row>
    <x:row r="34" ht="22" customHeight="1">
      <x:c r="A34" s="48" t="n">
        <x:v>26</x:v>
      </x:c>
      <x:c r="B34" s="48" t="str">
        <x:v>EMP-0026</x:v>
      </x:c>
      <x:c r="C34" s="49" t="str">
        <x:v>Данилов Денис Алексеевич</x:v>
      </x:c>
      <x:c r="D34" s="49" t="str">
        <x:v>Аналитика</x:v>
      </x:c>
      <x:c r="E34" s="49" t="str">
        <x:v>Системный аналитик</x:v>
      </x:c>
      <x:c r="F34" s="50" t="n">
        <x:v>115000</x:v>
      </x:c>
      <x:c r="G34" s="49" t="str">
        <x:v>denis.danilov.026@example.org</x:v>
      </x:c>
      <x:c r="H34" s="49" t="str">
        <x:v>+7 (907) 226-26-82</x:v>
      </x:c>
      <x:c r="I34" s="48" t="str">
        <x:v>2023-08-22</x:v>
      </x:c>
      <x:c r="J34" s="48" t="str">
        <x:v>OK</x:v>
      </x:c>
    </x:row>
    <x:row r="35" ht="22" customHeight="1">
      <x:c r="A35" s="46" t="n">
        <x:v>27</x:v>
      </x:c>
      <x:c r="B35" s="46" t="str">
        <x:v>EMP-0027</x:v>
      </x:c>
      <x:c r="C35" s="41" t="str">
        <x:v>Морозова Диана Владимировна</x:v>
      </x:c>
      <x:c r="D35" s="41" t="str">
        <x:v>Аналитика</x:v>
      </x:c>
      <x:c r="E35" s="41" t="str">
        <x:v>Бизнес-аналитик</x:v>
      </x:c>
      <x:c r="F35" s="44" t="n">
        <x:v>111000</x:v>
      </x:c>
      <x:c r="G35" s="41" t="str">
        <x:v>diana.morozova.027@example.org</x:v>
      </x:c>
      <x:c r="H35" s="41" t="str">
        <x:v>+7 (908) 227-27-89</x:v>
      </x:c>
      <x:c r="I35" s="46" t="str">
        <x:v>2022-12-10</x:v>
      </x:c>
      <x:c r="J35" s="46" t="str">
        <x:v>OK</x:v>
      </x:c>
    </x:row>
    <x:row r="36" ht="22" customHeight="1">
      <x:c r="A36" s="48" t="n">
        <x:v>28</x:v>
      </x:c>
      <x:c r="B36" s="48" t="str">
        <x:v>EMP-0028</x:v>
      </x:c>
      <x:c r="C36" s="49" t="str">
        <x:v>Андреев Михаил Игоревич</x:v>
      </x:c>
      <x:c r="D36" s="49" t="str">
        <x:v>Аналитика</x:v>
      </x:c>
      <x:c r="E36" s="49" t="str">
        <x:v>Аналитик данных</x:v>
      </x:c>
      <x:c r="F36" s="50" t="n">
        <x:v>115000</x:v>
      </x:c>
      <x:c r="G36" s="49" t="str">
        <x:v>mihail.andreev.028@example.org</x:v>
      </x:c>
      <x:c r="H36" s="49" t="str">
        <x:v>+7 (909) 228-28-96</x:v>
      </x:c>
      <x:c r="I36" s="48" t="str">
        <x:v>2021-06-20</x:v>
      </x:c>
      <x:c r="J36" s="48" t="str">
        <x:v>OK</x:v>
      </x:c>
    </x:row>
    <x:row r="37" ht="22" customHeight="1">
      <x:c r="A37" s="46" t="n">
        <x:v>29</x:v>
      </x:c>
      <x:c r="B37" s="46" t="str">
        <x:v>EMP-0029</x:v>
      </x:c>
      <x:c r="C37" s="41" t="str">
        <x:v>Гаврилова Дарья Павловна</x:v>
      </x:c>
      <x:c r="D37" s="41" t="str">
        <x:v>Аналитика</x:v>
      </x:c>
      <x:c r="E37" s="41" t="str">
        <x:v>BI-аналитик</x:v>
      </x:c>
      <x:c r="F37" s="44" t="n">
        <x:v>127000</x:v>
      </x:c>
      <x:c r="G37" s="41" t="str">
        <x:v>darya.gavrilova.029@example.org</x:v>
      </x:c>
      <x:c r="H37" s="41" t="str">
        <x:v>+7 (910) 229-29-03</x:v>
      </x:c>
      <x:c r="I37" s="46" t="str">
        <x:v>2018-03-23</x:v>
      </x:c>
      <x:c r="J37" s="46" t="str">
        <x:v>OK</x:v>
      </x:c>
    </x:row>
    <x:row r="38" ht="22" customHeight="1">
      <x:c r="A38" s="48" t="n">
        <x:v>30</x:v>
      </x:c>
      <x:c r="B38" s="48" t="str">
        <x:v>EMP-0030</x:v>
      </x:c>
      <x:c r="C38" s="49" t="str">
        <x:v>Михайлов Иван Олегович</x:v>
      </x:c>
      <x:c r="D38" s="49" t="str">
        <x:v>Аналитика</x:v>
      </x:c>
      <x:c r="E38" s="49" t="str">
        <x:v>Системный аналитик</x:v>
      </x:c>
      <x:c r="F38" s="50" t="n">
        <x:v>91000</x:v>
      </x:c>
      <x:c r="G38" s="49" t="str">
        <x:v>ivan.mihaylov.030@example.org</x:v>
      </x:c>
      <x:c r="H38" s="49" t="str">
        <x:v>+7 (906) 230-30-10</x:v>
      </x:c>
      <x:c r="I38" s="48" t="str">
        <x:v>2020-06-23</x:v>
      </x:c>
      <x:c r="J38" s="48" t="str">
        <x:v>OK</x:v>
      </x:c>
    </x:row>
    <x:row r="39" ht="22" customHeight="1">
      <x:c r="A39" s="46" t="n">
        <x:v>31</x:v>
      </x:c>
      <x:c r="B39" s="46" t="str">
        <x:v>EMP-0031</x:v>
      </x:c>
      <x:c r="C39" s="41" t="str">
        <x:v>Степанова Мария Николаевна</x:v>
      </x:c>
      <x:c r="D39" s="41" t="str">
        <x:v>Аналитика</x:v>
      </x:c>
      <x:c r="E39" s="41" t="str">
        <x:v>Бизнес-аналитик</x:v>
      </x:c>
      <x:c r="F39" s="44" t="n">
        <x:v>115000</x:v>
      </x:c>
      <x:c r="G39" s="41" t="str">
        <x:v>mariya.stepanova.031@example.org</x:v>
      </x:c>
      <x:c r="H39" s="41" t="str">
        <x:v>+7 (907) 231-31-17</x:v>
      </x:c>
      <x:c r="I39" s="46" t="str">
        <x:v>2022-07-28</x:v>
      </x:c>
      <x:c r="J39" s="46" t="str">
        <x:v>OK</x:v>
      </x:c>
    </x:row>
    <x:row r="40" ht="22" customHeight="1">
      <x:c r="A40" s="48" t="n">
        <x:v>32</x:v>
      </x:c>
      <x:c r="B40" s="48" t="str">
        <x:v>EMP-0032</x:v>
      </x:c>
      <x:c r="C40" s="49" t="str">
        <x:v>Жуков Павел Андреевич</x:v>
      </x:c>
      <x:c r="D40" s="49" t="str">
        <x:v>Аналитика</x:v>
      </x:c>
      <x:c r="E40" s="49" t="str">
        <x:v>Аналитик данных</x:v>
      </x:c>
      <x:c r="F40" s="50" t="n">
        <x:v>107000</x:v>
      </x:c>
      <x:c r="G40" s="49" t="str">
        <x:v>pavel.zhukov.032@example.org</x:v>
      </x:c>
      <x:c r="H40" s="49" t="str">
        <x:v>+7 (908) 232-32-24</x:v>
      </x:c>
      <x:c r="I40" s="48" t="str">
        <x:v>2019-06-08</x:v>
      </x:c>
      <x:c r="J40" s="48" t="str">
        <x:v>OK</x:v>
      </x:c>
    </x:row>
    <x:row r="41" ht="22" customHeight="1">
      <x:c r="A41" s="46" t="n">
        <x:v>33</x:v>
      </x:c>
      <x:c r="B41" s="46" t="str">
        <x:v>EMP-0033</x:v>
      </x:c>
      <x:c r="C41" s="41" t="str">
        <x:v>Васильева Вероника Викторовна</x:v>
      </x:c>
      <x:c r="D41" s="41" t="str">
        <x:v>Аналитика</x:v>
      </x:c>
      <x:c r="E41" s="41" t="str">
        <x:v>BI-аналитик</x:v>
      </x:c>
      <x:c r="F41" s="44" t="n">
        <x:v>127000</x:v>
      </x:c>
      <x:c r="G41" s="41" t="str">
        <x:v>veronika.vasileva.033@example.org</x:v>
      </x:c>
      <x:c r="H41" s="41" t="str">
        <x:v>+7 (909) 233-33-31</x:v>
      </x:c>
      <x:c r="I41" s="46" t="str">
        <x:v>2016-05-03</x:v>
      </x:c>
      <x:c r="J41" s="46" t="str">
        <x:v>OK</x:v>
      </x:c>
    </x:row>
    <x:row r="42" ht="22" customHeight="1">
      <x:c r="A42" s="48" t="n">
        <x:v>34</x:v>
      </x:c>
      <x:c r="B42" s="48" t="str">
        <x:v>EMP-0034</x:v>
      </x:c>
      <x:c r="C42" s="49" t="str">
        <x:v>Егоров Арсений Александрович</x:v>
      </x:c>
      <x:c r="D42" s="49" t="str">
        <x:v>Аналитика</x:v>
      </x:c>
      <x:c r="E42" s="49" t="str">
        <x:v>Системный аналитик</x:v>
      </x:c>
      <x:c r="F42" s="50" t="n">
        <x:v>123000</x:v>
      </x:c>
      <x:c r="G42" s="49" t="str">
        <x:v>arseniy.egorov.034@example.org</x:v>
      </x:c>
      <x:c r="H42" s="58" t="str">
        <x:v>+7 (900) 00-34-56</x:v>
      </x:c>
      <x:c r="I42" s="48" t="str">
        <x:v>2016-05-26</x:v>
      </x:c>
      <x:c r="J42" s="55" t="str">
        <x:v>Ошибка</x:v>
      </x:c>
    </x:row>
    <x:row r="43" ht="22" customHeight="1">
      <x:c r="A43" s="46" t="n">
        <x:v>35</x:v>
      </x:c>
      <x:c r="B43" s="46" t="str">
        <x:v>EMP-0035</x:v>
      </x:c>
      <x:c r="C43" s="41" t="str">
        <x:v>Белов Андрей Михайлович</x:v>
      </x:c>
      <x:c r="D43" s="41" t="str">
        <x:v>Продажи</x:v>
      </x:c>
      <x:c r="E43" s="41" t="str">
        <x:v>Руководитель группы</x:v>
      </x:c>
      <x:c r="F43" s="44" t="n">
        <x:v>96000</x:v>
      </x:c>
      <x:c r="G43" s="41" t="str">
        <x:v>andrey.belov.035@example.org</x:v>
      </x:c>
      <x:c r="H43" s="41" t="str">
        <x:v>+7 (912) 235-35-45</x:v>
      </x:c>
      <x:c r="I43" s="46" t="str">
        <x:v>2015-07-22</x:v>
      </x:c>
      <x:c r="J43" s="46" t="str">
        <x:v>OK</x:v>
      </x:c>
    </x:row>
    <x:row r="44" ht="22" customHeight="1">
      <x:c r="A44" s="48" t="n">
        <x:v>36</x:v>
      </x:c>
      <x:c r="B44" s="48" t="str">
        <x:v>EMP-0036</x:v>
      </x:c>
      <x:c r="C44" s="49" t="str">
        <x:v>Кузнецова Ксения Алексеевна</x:v>
      </x:c>
      <x:c r="D44" s="49" t="str">
        <x:v>Продажи</x:v>
      </x:c>
      <x:c r="E44" s="49" t="str">
        <x:v>Ведущий менеджер</x:v>
      </x:c>
      <x:c r="F44" s="50" t="n">
        <x:v>112000</x:v>
      </x:c>
      <x:c r="G44" s="49" t="str">
        <x:v>kseniya.kuznetsova.036@example.org</x:v>
      </x:c>
      <x:c r="H44" s="49" t="str">
        <x:v>+7 (913) 236-36-52</x:v>
      </x:c>
      <x:c r="I44" s="48" t="str">
        <x:v>2017-12-15</x:v>
      </x:c>
      <x:c r="J44" s="48" t="str">
        <x:v>OK</x:v>
      </x:c>
    </x:row>
    <x:row r="45" ht="22" customHeight="1">
      <x:c r="A45" s="46" t="n">
        <x:v>37</x:v>
      </x:c>
      <x:c r="B45" s="46" t="str">
        <x:v>EMP-0037</x:v>
      </x:c>
      <x:c r="C45" s="41" t="str">
        <x:v>Лебедев Тимофей Владимирович</x:v>
      </x:c>
      <x:c r="D45" s="41" t="str">
        <x:v>Продажи</x:v>
      </x:c>
      <x:c r="E45" s="41" t="str">
        <x:v>Менеджер по продажам</x:v>
      </x:c>
      <x:c r="F45" s="44" t="n">
        <x:v>102000</x:v>
      </x:c>
      <x:c r="G45" s="41" t="str">
        <x:v>timofey.lebedev.037@example.org</x:v>
      </x:c>
      <x:c r="H45" s="41" t="str">
        <x:v>+7 (914) 237-37-59</x:v>
      </x:c>
      <x:c r="I45" s="46" t="str">
        <x:v>2017-11-17</x:v>
      </x:c>
      <x:c r="J45" s="46" t="str">
        <x:v>OK</x:v>
      </x:c>
    </x:row>
    <x:row r="46" ht="22" customHeight="1">
      <x:c r="A46" s="48" t="n">
        <x:v>38</x:v>
      </x:c>
      <x:c r="B46" s="48" t="str">
        <x:v>EMP-0038</x:v>
      </x:c>
      <x:c r="C46" s="49" t="str">
        <x:v>Киселёва Ольга Игоревна</x:v>
      </x:c>
      <x:c r="D46" s="49" t="str">
        <x:v>Продажи</x:v>
      </x:c>
      <x:c r="E46" s="49" t="str">
        <x:v>Специалист по работе с партнёрами</x:v>
      </x:c>
      <x:c r="F46" s="50" t="n">
        <x:v>82000</x:v>
      </x:c>
      <x:c r="G46" s="49" t="str">
        <x:v>olga.kiseleva.038@example.org</x:v>
      </x:c>
      <x:c r="H46" s="49" t="str">
        <x:v>+7 (915) 238-38-66</x:v>
      </x:c>
      <x:c r="I46" s="48" t="str">
        <x:v>2021-09-14</x:v>
      </x:c>
      <x:c r="J46" s="48" t="str">
        <x:v>OK</x:v>
      </x:c>
    </x:row>
    <x:row r="47" ht="22" customHeight="1">
      <x:c r="A47" s="46" t="n">
        <x:v>39</x:v>
      </x:c>
      <x:c r="B47" s="46" t="str">
        <x:v>EMP-0039</x:v>
      </x:c>
      <x:c r="C47" s="41" t="str">
        <x:v>Данилов Роман Павлович</x:v>
      </x:c>
      <x:c r="D47" s="41" t="str">
        <x:v>Продажи</x:v>
      </x:c>
      <x:c r="E47" s="41" t="str">
        <x:v>Руководитель группы</x:v>
      </x:c>
      <x:c r="F47" s="44" t="n">
        <x:v>120000</x:v>
      </x:c>
      <x:c r="G47" s="41" t="str">
        <x:v>roman.danilov.039@example.org</x:v>
      </x:c>
      <x:c r="H47" s="41" t="str">
        <x:v>+7 (916) 239-39-73</x:v>
      </x:c>
      <x:c r="I47" s="46" t="str">
        <x:v>2019-04-02</x:v>
      </x:c>
      <x:c r="J47" s="46" t="str">
        <x:v>OK</x:v>
      </x:c>
    </x:row>
    <x:row r="48" ht="22" customHeight="1">
      <x:c r="A48" s="48" t="n">
        <x:v>40</x:v>
      </x:c>
      <x:c r="B48" s="48" t="str">
        <x:v>EMP-0040</x:v>
      </x:c>
      <x:c r="C48" s="49" t="str">
        <x:v>Морозова Кристина Олеговна</x:v>
      </x:c>
      <x:c r="D48" s="49" t="str">
        <x:v>Продажи</x:v>
      </x:c>
      <x:c r="E48" s="49" t="str">
        <x:v>Ведущий менеджер</x:v>
      </x:c>
      <x:c r="F48" s="50" t="n">
        <x:v>100000</x:v>
      </x:c>
      <x:c r="G48" s="49" t="str">
        <x:v>kristina.morozova.040@example.org</x:v>
      </x:c>
      <x:c r="H48" s="49" t="str">
        <x:v>+7 (912) 240-40-80</x:v>
      </x:c>
      <x:c r="I48" s="48" t="str">
        <x:v>2020-01-19</x:v>
      </x:c>
      <x:c r="J48" s="48" t="str">
        <x:v>OK</x:v>
      </x:c>
    </x:row>
    <x:row r="49" ht="22" customHeight="1">
      <x:c r="A49" s="46" t="n">
        <x:v>41</x:v>
      </x:c>
      <x:c r="B49" s="46" t="str">
        <x:v>EMP-0041</x:v>
      </x:c>
      <x:c r="C49" s="41" t="str">
        <x:v>Андреев Дмитрий Николаевич</x:v>
      </x:c>
      <x:c r="D49" s="41" t="str">
        <x:v>Продажи</x:v>
      </x:c>
      <x:c r="E49" s="41" t="str">
        <x:v>Менеджер по продажам</x:v>
      </x:c>
      <x:c r="F49" s="44" t="n">
        <x:v>98000</x:v>
      </x:c>
      <x:c r="G49" s="41" t="str">
        <x:v>dmitriy.andreev.041@example.org</x:v>
      </x:c>
      <x:c r="H49" s="41" t="str">
        <x:v>+7 (913) 241-41-87</x:v>
      </x:c>
      <x:c r="I49" s="46" t="str">
        <x:v>2016-11-27</x:v>
      </x:c>
      <x:c r="J49" s="46" t="str">
        <x:v>OK</x:v>
      </x:c>
    </x:row>
    <x:row r="50" ht="22" customHeight="1">
      <x:c r="A50" s="48" t="n">
        <x:v>42</x:v>
      </x:c>
      <x:c r="B50" s="48" t="str">
        <x:v>EMP-0042</x:v>
      </x:c>
      <x:c r="C50" s="49" t="str">
        <x:v>Гаврилова Виктория Андреевна</x:v>
      </x:c>
      <x:c r="D50" s="49" t="str">
        <x:v>Продажи</x:v>
      </x:c>
      <x:c r="E50" s="49" t="str">
        <x:v>Специалист по работе с партнёрами</x:v>
      </x:c>
      <x:c r="F50" s="50" t="n">
        <x:v>106000</x:v>
      </x:c>
      <x:c r="G50" s="49" t="str">
        <x:v>viktoriya.gavrilova.042@example.org</x:v>
      </x:c>
      <x:c r="H50" s="49" t="str">
        <x:v>+7 (914) 242-42-94</x:v>
      </x:c>
      <x:c r="I50" s="48" t="str">
        <x:v>2022-03-19</x:v>
      </x:c>
      <x:c r="J50" s="48" t="str">
        <x:v>OK</x:v>
      </x:c>
    </x:row>
    <x:row r="51" ht="22" customHeight="1">
      <x:c r="A51" s="46" t="n">
        <x:v>43</x:v>
      </x:c>
      <x:c r="B51" s="46" t="str">
        <x:v>EMP-0043</x:v>
      </x:c>
      <x:c r="C51" s="41" t="str">
        <x:v>Михайлов Денис Викторович</x:v>
      </x:c>
      <x:c r="D51" s="41" t="str">
        <x:v>Продажи</x:v>
      </x:c>
      <x:c r="E51" s="41" t="str">
        <x:v>Руководитель группы</x:v>
      </x:c>
      <x:c r="F51" s="44" t="n">
        <x:v>116000</x:v>
      </x:c>
      <x:c r="G51" s="41" t="str">
        <x:v>denis.mihaylov.043@example.org</x:v>
      </x:c>
      <x:c r="H51" s="41" t="str">
        <x:v>+7 (915) 243-43-01</x:v>
      </x:c>
      <x:c r="I51" s="46" t="str">
        <x:v>2022-09-05</x:v>
      </x:c>
      <x:c r="J51" s="46" t="str">
        <x:v>OK</x:v>
      </x:c>
    </x:row>
    <x:row r="52" ht="22" customHeight="1">
      <x:c r="A52" s="48" t="n">
        <x:v>44</x:v>
      </x:c>
      <x:c r="B52" s="48" t="str">
        <x:v>EMP-0044</x:v>
      </x:c>
      <x:c r="C52" s="49" t="str">
        <x:v>Степанова Диана Александровна</x:v>
      </x:c>
      <x:c r="D52" s="49" t="str">
        <x:v>Продажи</x:v>
      </x:c>
      <x:c r="E52" s="49" t="str">
        <x:v>Ведущий менеджер</x:v>
      </x:c>
      <x:c r="F52" s="50" t="n">
        <x:v>108000</x:v>
      </x:c>
      <x:c r="G52" s="49" t="str">
        <x:v>diana.stepanova.044@example.org</x:v>
      </x:c>
      <x:c r="H52" s="49" t="str">
        <x:v>+7 (916) 244-44-08</x:v>
      </x:c>
      <x:c r="I52" s="48" t="str">
        <x:v>2024-01-26</x:v>
      </x:c>
      <x:c r="J52" s="48" t="str">
        <x:v>OK</x:v>
      </x:c>
    </x:row>
    <x:row r="53" ht="22" customHeight="1">
      <x:c r="A53" s="46" t="n">
        <x:v>45</x:v>
      </x:c>
      <x:c r="B53" s="46" t="str">
        <x:v>EMP-0045</x:v>
      </x:c>
      <x:c r="C53" s="41" t="str">
        <x:v>Жуков Михаил Сергеевич</x:v>
      </x:c>
      <x:c r="D53" s="41" t="str">
        <x:v>Продажи</x:v>
      </x:c>
      <x:c r="E53" s="41" t="str">
        <x:v>Менеджер по продажам</x:v>
      </x:c>
      <x:c r="F53" s="44" t="n">
        <x:v>94000</x:v>
      </x:c>
      <x:c r="G53" s="58" t="str">
        <x:v>employee@</x:v>
      </x:c>
      <x:c r="H53" s="41" t="str">
        <x:v>+7 (912) 245-45-15</x:v>
      </x:c>
      <x:c r="I53" s="46" t="str">
        <x:v>2022-09-07</x:v>
      </x:c>
      <x:c r="J53" s="55" t="str">
        <x:v>Ошибка</x:v>
      </x:c>
    </x:row>
    <x:row r="54" ht="22" customHeight="1">
      <x:c r="A54" s="48" t="n">
        <x:v>46</x:v>
      </x:c>
      <x:c r="B54" s="48" t="str">
        <x:v>EMP-0046</x:v>
      </x:c>
      <x:c r="C54" s="49" t="str">
        <x:v>Васильева Дарья Дмитриевна</x:v>
      </x:c>
      <x:c r="D54" s="49" t="str">
        <x:v>Продажи</x:v>
      </x:c>
      <x:c r="E54" s="49" t="str">
        <x:v>Специалист по работе с партнёрами</x:v>
      </x:c>
      <x:c r="F54" s="50" t="n">
        <x:v>74000</x:v>
      </x:c>
      <x:c r="G54" s="49" t="str">
        <x:v>darya.vasileva.046@example.org</x:v>
      </x:c>
      <x:c r="H54" s="49" t="str">
        <x:v>+7 (913) 246-46-22</x:v>
      </x:c>
      <x:c r="I54" s="48" t="str">
        <x:v>2023-12-29</x:v>
      </x:c>
      <x:c r="J54" s="48" t="str">
        <x:v>OK</x:v>
      </x:c>
    </x:row>
    <x:row r="55" ht="22" customHeight="1">
      <x:c r="A55" s="46" t="n">
        <x:v>47</x:v>
      </x:c>
      <x:c r="B55" s="46" t="str">
        <x:v>EMP-0047</x:v>
      </x:c>
      <x:c r="C55" s="41" t="str">
        <x:v>Егоров Иван Михайлович</x:v>
      </x:c>
      <x:c r="D55" s="41" t="str">
        <x:v>Продажи</x:v>
      </x:c>
      <x:c r="E55" s="41" t="str">
        <x:v>Руководитель группы</x:v>
      </x:c>
      <x:c r="F55" s="44" t="n">
        <x:v>104000</x:v>
      </x:c>
      <x:c r="G55" s="41" t="str">
        <x:v>ivan.egorov.047@example.org</x:v>
      </x:c>
      <x:c r="H55" s="41" t="str">
        <x:v>+7 (914) 247-47-29</x:v>
      </x:c>
      <x:c r="I55" s="46" t="str">
        <x:v>2021-05-04</x:v>
      </x:c>
      <x:c r="J55" s="46" t="str">
        <x:v>OK</x:v>
      </x:c>
    </x:row>
    <x:row r="56" ht="22" customHeight="1">
      <x:c r="A56" s="48" t="n">
        <x:v>48</x:v>
      </x:c>
      <x:c r="B56" s="48" t="str">
        <x:v>EMP-0048</x:v>
      </x:c>
      <x:c r="C56" s="49" t="str">
        <x:v>Тарасова Мария Алексеевна</x:v>
      </x:c>
      <x:c r="D56" s="49" t="str">
        <x:v>Продажи</x:v>
      </x:c>
      <x:c r="E56" s="49" t="str">
        <x:v>Ведущий менеджер</x:v>
      </x:c>
      <x:c r="F56" s="50" t="n">
        <x:v>112000</x:v>
      </x:c>
      <x:c r="G56" s="49" t="str">
        <x:v>mariya.tarasova.048@example.org</x:v>
      </x:c>
      <x:c r="H56" s="49" t="str">
        <x:v>+7 (915) 248-48-36</x:v>
      </x:c>
      <x:c r="I56" s="48" t="str">
        <x:v>2026-06-23</x:v>
      </x:c>
      <x:c r="J56" s="48" t="str">
        <x:v>OK</x:v>
      </x:c>
    </x:row>
    <x:row r="57" ht="22" customHeight="1">
      <x:c r="A57" s="46" t="n">
        <x:v>49</x:v>
      </x:c>
      <x:c r="B57" s="46" t="str">
        <x:v>EMP-0049</x:v>
      </x:c>
      <x:c r="C57" s="41" t="str">
        <x:v>Смирнов Павел Владимирович</x:v>
      </x:c>
      <x:c r="D57" s="41" t="str">
        <x:v>Продажи</x:v>
      </x:c>
      <x:c r="E57" s="41" t="str">
        <x:v>Менеджер по продажам</x:v>
      </x:c>
      <x:c r="F57" s="44" t="n">
        <x:v>102000</x:v>
      </x:c>
      <x:c r="G57" s="41" t="str">
        <x:v>pavel.smirnov.049@example.org</x:v>
      </x:c>
      <x:c r="H57" s="41" t="str">
        <x:v>+7 (916) 249-49-43</x:v>
      </x:c>
      <x:c r="I57" s="46" t="str">
        <x:v>2015-02-22</x:v>
      </x:c>
      <x:c r="J57" s="46" t="str">
        <x:v>OK</x:v>
      </x:c>
    </x:row>
    <x:row r="58" ht="22" customHeight="1">
      <x:c r="A58" s="48" t="n">
        <x:v>50</x:v>
      </x:c>
      <x:c r="B58" s="48" t="str">
        <x:v>EMP-0050</x:v>
      </x:c>
      <x:c r="C58" s="49" t="str">
        <x:v>Лебедев Олег Олегович</x:v>
      </x:c>
      <x:c r="D58" s="49" t="str">
        <x:v>Маркетинг</x:v>
      </x:c>
      <x:c r="E58" s="49" t="str">
        <x:v>Бренд-менеджер</x:v>
      </x:c>
      <x:c r="F58" s="50" t="n">
        <x:v>79000</x:v>
      </x:c>
      <x:c r="G58" s="49" t="str">
        <x:v>oleg.lebedev.050@example.org</x:v>
      </x:c>
      <x:c r="H58" s="49" t="str">
        <x:v>+7 (918) 250-50-50</x:v>
      </x:c>
      <x:c r="I58" s="48" t="str">
        <x:v>2017-08-15</x:v>
      </x:c>
      <x:c r="J58" s="48" t="str">
        <x:v>OK</x:v>
      </x:c>
    </x:row>
    <x:row r="59" ht="22" customHeight="1">
      <x:c r="A59" s="46" t="n">
        <x:v>51</x:v>
      </x:c>
      <x:c r="B59" s="46" t="str">
        <x:v>EMP-0051</x:v>
      </x:c>
      <x:c r="C59" s="41" t="str">
        <x:v>Киселёва Анна Николаевна</x:v>
      </x:c>
      <x:c r="D59" s="41" t="str">
        <x:v>Маркетинг</x:v>
      </x:c>
      <x:c r="E59" s="41" t="str">
        <x:v>Трафик-менеджер</x:v>
      </x:c>
      <x:c r="F59" s="44" t="n">
        <x:v>107000</x:v>
      </x:c>
      <x:c r="G59" s="41" t="str">
        <x:v>anna.kiseleva.051@example.org</x:v>
      </x:c>
      <x:c r="H59" s="41" t="str">
        <x:v>+7 (919) 251-51-57</x:v>
      </x:c>
      <x:c r="I59" s="46" t="str">
        <x:v>2020-01-07</x:v>
      </x:c>
      <x:c r="J59" s="46" t="str">
        <x:v>OK</x:v>
      </x:c>
    </x:row>
    <x:row r="60" ht="22" customHeight="1">
      <x:c r="A60" s="48" t="n">
        <x:v>52</x:v>
      </x:c>
      <x:c r="B60" s="48" t="str">
        <x:v>EMP-0052</x:v>
      </x:c>
      <x:c r="C60" s="49" t="str">
        <x:v>Данилов Андрей Андреевич</x:v>
      </x:c>
      <x:c r="D60" s="49" t="str">
        <x:v>Маркетинг</x:v>
      </x:c>
      <x:c r="E60" s="49" t="str">
        <x:v>Контент-менеджер</x:v>
      </x:c>
      <x:c r="F60" s="50" t="n">
        <x:v>107000</x:v>
      </x:c>
      <x:c r="G60" s="49" t="str">
        <x:v>andrey.danilov.052@example.org</x:v>
      </x:c>
      <x:c r="H60" s="49" t="str">
        <x:v>+7 (920) 252-52-64</x:v>
      </x:c>
      <x:c r="I60" s="48" t="str">
        <x:v>2025-06-28</x:v>
      </x:c>
      <x:c r="J60" s="48" t="str">
        <x:v>OK</x:v>
      </x:c>
    </x:row>
    <x:row r="61" ht="22" customHeight="1">
      <x:c r="A61" s="46" t="n">
        <x:v>53</x:v>
      </x:c>
      <x:c r="B61" s="46" t="str">
        <x:v>EMP-0053</x:v>
      </x:c>
      <x:c r="C61" s="41" t="str">
        <x:v>Морозова Ксения Викторовна</x:v>
      </x:c>
      <x:c r="D61" s="41" t="str">
        <x:v>Маркетинг</x:v>
      </x:c>
      <x:c r="E61" s="41" t="str">
        <x:v>Маркетолог</x:v>
      </x:c>
      <x:c r="F61" s="44" t="n">
        <x:v>95000</x:v>
      </x:c>
      <x:c r="G61" s="41" t="str">
        <x:v>kseniya.morozova.053@example.org</x:v>
      </x:c>
      <x:c r="H61" s="41" t="str">
        <x:v>+7 (921) 253-53-71</x:v>
      </x:c>
      <x:c r="I61" s="46" t="str">
        <x:v>2025-08-21</x:v>
      </x:c>
      <x:c r="J61" s="46" t="str">
        <x:v>OK</x:v>
      </x:c>
    </x:row>
    <x:row r="62" ht="22" customHeight="1">
      <x:c r="A62" s="48" t="n">
        <x:v>54</x:v>
      </x:c>
      <x:c r="B62" s="48" t="str">
        <x:v>EMP-0054</x:v>
      </x:c>
      <x:c r="C62" s="49" t="str">
        <x:v>Андреев Тимофей Александрович</x:v>
      </x:c>
      <x:c r="D62" s="49" t="str">
        <x:v>Маркетинг</x:v>
      </x:c>
      <x:c r="E62" s="49" t="str">
        <x:v>Бренд-менеджер</x:v>
      </x:c>
      <x:c r="F62" s="50" t="n">
        <x:v>75000</x:v>
      </x:c>
      <x:c r="G62" s="49" t="str">
        <x:v>timofey.andreev.054@example.org</x:v>
      </x:c>
      <x:c r="H62" s="49" t="str">
        <x:v>+7 (922) 254-54-78</x:v>
      </x:c>
      <x:c r="I62" s="48" t="str">
        <x:v>2018-09-26</x:v>
      </x:c>
      <x:c r="J62" s="48" t="str">
        <x:v>OK</x:v>
      </x:c>
    </x:row>
    <x:row r="63" ht="22" customHeight="1">
      <x:c r="A63" s="46" t="n">
        <x:v>55</x:v>
      </x:c>
      <x:c r="B63" s="46" t="str">
        <x:v>EMP-0055</x:v>
      </x:c>
      <x:c r="C63" s="41" t="str">
        <x:v>Гаврилова Ольга Сергеевна</x:v>
      </x:c>
      <x:c r="D63" s="41" t="str">
        <x:v>Маркетинг</x:v>
      </x:c>
      <x:c r="E63" s="41" t="str">
        <x:v>Трафик-менеджер</x:v>
      </x:c>
      <x:c r="F63" s="44" t="n">
        <x:v>91000</x:v>
      </x:c>
      <x:c r="G63" s="41" t="str">
        <x:v>olga.gavrilova.055@example.org</x:v>
      </x:c>
      <x:c r="H63" s="41" t="str">
        <x:v>+7 (918) 255-55-85</x:v>
      </x:c>
      <x:c r="I63" s="46" t="str">
        <x:v>2016-05-01</x:v>
      </x:c>
      <x:c r="J63" s="46" t="str">
        <x:v>OK</x:v>
      </x:c>
    </x:row>
    <x:row r="64" ht="22" customHeight="1">
      <x:c r="A64" s="48" t="n">
        <x:v>56</x:v>
      </x:c>
      <x:c r="B64" s="48" t="str">
        <x:v>EMP-0056</x:v>
      </x:c>
      <x:c r="C64" s="49" t="str">
        <x:v>Михайлов Роман Дмитриевич</x:v>
      </x:c>
      <x:c r="D64" s="49" t="str">
        <x:v>Маркетинг</x:v>
      </x:c>
      <x:c r="E64" s="49" t="str">
        <x:v>Контент-менеджер</x:v>
      </x:c>
      <x:c r="F64" s="50" t="n">
        <x:v>95000</x:v>
      </x:c>
      <x:c r="G64" s="49" t="str">
        <x:v>roman.mihaylov.056@example.org</x:v>
      </x:c>
      <x:c r="H64" s="49" t="str">
        <x:v>+7 (919) 256-56-92</x:v>
      </x:c>
      <x:c r="I64" s="48" t="str">
        <x:v>2018-01-25</x:v>
      </x:c>
      <x:c r="J64" s="48" t="str">
        <x:v>OK</x:v>
      </x:c>
    </x:row>
    <x:row r="65" ht="22" customHeight="1">
      <x:c r="A65" s="46" t="n">
        <x:v>57</x:v>
      </x:c>
      <x:c r="B65" s="46" t="str">
        <x:v>EMP-0057</x:v>
      </x:c>
      <x:c r="C65" s="41" t="str">
        <x:v>Степанова Кристина Михайловна</x:v>
      </x:c>
      <x:c r="D65" s="41" t="str">
        <x:v>Маркетинг</x:v>
      </x:c>
      <x:c r="E65" s="41" t="str">
        <x:v>Маркетолог</x:v>
      </x:c>
      <x:c r="F65" s="44" t="n">
        <x:v>87000</x:v>
      </x:c>
      <x:c r="G65" s="41" t="str">
        <x:v>kristina.stepanova.057@example.org</x:v>
      </x:c>
      <x:c r="H65" s="41" t="str">
        <x:v>+7 (920) 257-57-99</x:v>
      </x:c>
      <x:c r="I65" s="46" t="str">
        <x:v>2016-08-25</x:v>
      </x:c>
      <x:c r="J65" s="46" t="str">
        <x:v>OK</x:v>
      </x:c>
    </x:row>
    <x:row r="66" ht="22" customHeight="1">
      <x:c r="A66" s="48" t="n">
        <x:v>58</x:v>
      </x:c>
      <x:c r="B66" s="48" t="str">
        <x:v>EMP-0058</x:v>
      </x:c>
      <x:c r="C66" s="49" t="str">
        <x:v>Жуков Дмитрий Алексеевич</x:v>
      </x:c>
      <x:c r="D66" s="49" t="str">
        <x:v>Маркетинг</x:v>
      </x:c>
      <x:c r="E66" s="49" t="str">
        <x:v>Бренд-менеджер</x:v>
      </x:c>
      <x:c r="F66" s="50" t="n">
        <x:v>107000</x:v>
      </x:c>
      <x:c r="G66" s="49" t="str">
        <x:v>dmitriy.zhukov.058@example.org</x:v>
      </x:c>
      <x:c r="H66" s="58" t="str">
        <x:v>нет номера</x:v>
      </x:c>
      <x:c r="I66" s="48" t="str">
        <x:v>2020-05-15</x:v>
      </x:c>
      <x:c r="J66" s="55" t="str">
        <x:v>Ошибка</x:v>
      </x:c>
    </x:row>
    <x:row r="67" ht="22" customHeight="1">
      <x:c r="A67" s="46" t="n">
        <x:v>59</x:v>
      </x:c>
      <x:c r="B67" s="46" t="str">
        <x:v>EMP-0059</x:v>
      </x:c>
      <x:c r="C67" s="41" t="str">
        <x:v>Васильева Виктория Владимировна</x:v>
      </x:c>
      <x:c r="D67" s="41" t="str">
        <x:v>Маркетинг</x:v>
      </x:c>
      <x:c r="E67" s="41" t="str">
        <x:v>Трафик-менеджер</x:v>
      </x:c>
      <x:c r="F67" s="44" t="n">
        <x:v>87000</x:v>
      </x:c>
      <x:c r="G67" s="41" t="str">
        <x:v>viktoriya.vasileva.059@example.org</x:v>
      </x:c>
      <x:c r="H67" s="41" t="str">
        <x:v>+7 (922) 259-59-13</x:v>
      </x:c>
      <x:c r="I67" s="46" t="str">
        <x:v>2019-08-30</x:v>
      </x:c>
      <x:c r="J67" s="46" t="str">
        <x:v>OK</x:v>
      </x:c>
    </x:row>
    <x:row r="68" ht="22" customHeight="1">
      <x:c r="A68" s="48" t="n">
        <x:v>60</x:v>
      </x:c>
      <x:c r="B68" s="48" t="str">
        <x:v>EMP-0060</x:v>
      </x:c>
      <x:c r="C68" s="49" t="str">
        <x:v>Егоров Денис Игоревич</x:v>
      </x:c>
      <x:c r="D68" s="49" t="str">
        <x:v>Маркетинг</x:v>
      </x:c>
      <x:c r="E68" s="49" t="str">
        <x:v>Контент-менеджер</x:v>
      </x:c>
      <x:c r="F68" s="50" t="n">
        <x:v>111000</x:v>
      </x:c>
      <x:c r="G68" s="49" t="str">
        <x:v>denis.egorov.060@example.org</x:v>
      </x:c>
      <x:c r="H68" s="49" t="str">
        <x:v>+7 (918) 260-60-20</x:v>
      </x:c>
      <x:c r="I68" s="48" t="str">
        <x:v>2025-03-18</x:v>
      </x:c>
      <x:c r="J68" s="48" t="str">
        <x:v>OK</x:v>
      </x:c>
    </x:row>
    <x:row r="69" ht="22" customHeight="1">
      <x:c r="A69" s="46" t="n">
        <x:v>61</x:v>
      </x:c>
      <x:c r="B69" s="46" t="str">
        <x:v>EMP-0061</x:v>
      </x:c>
      <x:c r="C69" s="41" t="str">
        <x:v>Тарасова Диана Павловна</x:v>
      </x:c>
      <x:c r="D69" s="41" t="str">
        <x:v>Маркетинг</x:v>
      </x:c>
      <x:c r="E69" s="41" t="str">
        <x:v>Маркетолог</x:v>
      </x:c>
      <x:c r="F69" s="44" t="n">
        <x:v>91000</x:v>
      </x:c>
      <x:c r="G69" s="41" t="str">
        <x:v>diana.tarasova.061@example.org</x:v>
      </x:c>
      <x:c r="H69" s="41" t="str">
        <x:v>+7 (919) 261-61-27</x:v>
      </x:c>
      <x:c r="I69" s="46" t="str">
        <x:v>2018-01-27</x:v>
      </x:c>
      <x:c r="J69" s="46" t="str">
        <x:v>OK</x:v>
      </x:c>
    </x:row>
    <x:row r="70" ht="22" customHeight="1">
      <x:c r="A70" s="48" t="n">
        <x:v>62</x:v>
      </x:c>
      <x:c r="B70" s="48" t="str">
        <x:v>EMP-0062</x:v>
      </x:c>
      <x:c r="C70" s="49" t="str">
        <x:v>Смирнов Михаил Олегович</x:v>
      </x:c>
      <x:c r="D70" s="49" t="str">
        <x:v>Маркетинг</x:v>
      </x:c>
      <x:c r="E70" s="49" t="str">
        <x:v>Бренд-менеджер</x:v>
      </x:c>
      <x:c r="F70" s="50" t="n">
        <x:v>107000</x:v>
      </x:c>
      <x:c r="G70" s="49" t="str">
        <x:v>mihail.smirnov.062@example.org</x:v>
      </x:c>
      <x:c r="H70" s="49" t="str">
        <x:v>+7 (920) 262-62-34</x:v>
      </x:c>
      <x:c r="I70" s="48" t="str">
        <x:v>2023-06-13</x:v>
      </x:c>
      <x:c r="J70" s="48" t="str">
        <x:v>OK</x:v>
      </x:c>
    </x:row>
    <x:row r="71" ht="22" customHeight="1">
      <x:c r="A71" s="46" t="n">
        <x:v>63</x:v>
      </x:c>
      <x:c r="B71" s="46" t="str">
        <x:v>EMP-0063</x:v>
      </x:c>
      <x:c r="C71" s="41" t="str">
        <x:v>Алексеева Дарья Николаевна</x:v>
      </x:c>
      <x:c r="D71" s="41" t="str">
        <x:v>Маркетинг</x:v>
      </x:c>
      <x:c r="E71" s="41" t="str">
        <x:v>Трафик-менеджер</x:v>
      </x:c>
      <x:c r="F71" s="44" t="n">
        <x:v>95000</x:v>
      </x:c>
      <x:c r="G71" s="41" t="str">
        <x:v>darya.alekseeva.063@example.org</x:v>
      </x:c>
      <x:c r="H71" s="41" t="str">
        <x:v>+7 (921) 263-63-41</x:v>
      </x:c>
      <x:c r="I71" s="46" t="str">
        <x:v>2019-04-19</x:v>
      </x:c>
      <x:c r="J71" s="46" t="str">
        <x:v>OK</x:v>
      </x:c>
    </x:row>
    <x:row r="72" ht="22" customHeight="1">
      <x:c r="A72" s="48" t="n">
        <x:v>64</x:v>
      </x:c>
      <x:c r="B72" s="48" t="str">
        <x:v>EMP-0064</x:v>
      </x:c>
      <x:c r="C72" s="49" t="str">
        <x:v>Киселёва Марина Александровна</x:v>
      </x:c>
      <x:c r="D72" s="49" t="str">
        <x:v>Клиентский сервис</x:v>
      </x:c>
      <x:c r="E72" s="49" t="str">
        <x:v>Специалист поддержки</x:v>
      </x:c>
      <x:c r="F72" s="50" t="n">
        <x:v>90000</x:v>
      </x:c>
      <x:c r="G72" s="49" t="str">
        <x:v>marina.kiseleva.064@example.org</x:v>
      </x:c>
      <x:c r="H72" s="49" t="str">
        <x:v>+7 (928) 264-64-48</x:v>
      </x:c>
      <x:c r="I72" s="48" t="str">
        <x:v>2015-10-15</x:v>
      </x:c>
      <x:c r="J72" s="48" t="str">
        <x:v>OK</x:v>
      </x:c>
    </x:row>
    <x:row r="73" ht="22" customHeight="1">
      <x:c r="A73" s="46" t="n">
        <x:v>65</x:v>
      </x:c>
      <x:c r="B73" s="46" t="str">
        <x:v>EMP-0065</x:v>
      </x:c>
      <x:c r="C73" s="41" t="str">
        <x:v>Данилов Артём Сергеевич</x:v>
      </x:c>
      <x:c r="D73" s="41" t="str">
        <x:v>Клиентский сервис</x:v>
      </x:c>
      <x:c r="E73" s="41" t="str">
        <x:v>Координатор сервиса</x:v>
      </x:c>
      <x:c r="F73" s="44" t="n">
        <x:v>86000</x:v>
      </x:c>
      <x:c r="G73" s="41" t="str">
        <x:v>artem.danilov.065@example.org</x:v>
      </x:c>
      <x:c r="H73" s="41" t="str">
        <x:v>+7 (924) 265-65-55</x:v>
      </x:c>
      <x:c r="I73" s="46" t="str">
        <x:v>2020-08-25</x:v>
      </x:c>
      <x:c r="J73" s="46" t="str">
        <x:v>OK</x:v>
      </x:c>
    </x:row>
    <x:row r="74" ht="22" customHeight="1">
      <x:c r="A74" s="48" t="n">
        <x:v>66</x:v>
      </x:c>
      <x:c r="B74" s="48" t="str">
        <x:v>EMP-0066</x:v>
      </x:c>
      <x:c r="C74" s="49" t="str">
        <x:v>Морозова Полина Дмитриевна</x:v>
      </x:c>
      <x:c r="D74" s="49" t="str">
        <x:v>Клиентский сервис</x:v>
      </x:c>
      <x:c r="E74" s="49" t="str">
        <x:v>Старший специалист</x:v>
      </x:c>
      <x:c r="F74" s="50" t="n">
        <x:v>62000</x:v>
      </x:c>
      <x:c r="G74" s="58" t="str">
        <x:v>bad@@example.org</x:v>
      </x:c>
      <x:c r="H74" s="49" t="str">
        <x:v>+7 (925) 266-66-62</x:v>
      </x:c>
      <x:c r="I74" s="48" t="str">
        <x:v>2022-06-18</x:v>
      </x:c>
      <x:c r="J74" s="55" t="str">
        <x:v>Ошибка</x:v>
      </x:c>
    </x:row>
    <x:row r="75" ht="22" customHeight="1">
      <x:c r="A75" s="46" t="n">
        <x:v>67</x:v>
      </x:c>
      <x:c r="B75" s="46" t="str">
        <x:v>EMP-0067</x:v>
      </x:c>
      <x:c r="C75" s="41" t="str">
        <x:v>Андреев Олег Михайлович</x:v>
      </x:c>
      <x:c r="D75" s="41" t="str">
        <x:v>Клиентский сервис</x:v>
      </x:c>
      <x:c r="E75" s="41" t="str">
        <x:v>Менеджер по работе с клиентами</x:v>
      </x:c>
      <x:c r="F75" s="44" t="n">
        <x:v>86000</x:v>
      </x:c>
      <x:c r="G75" s="41" t="str">
        <x:v>oleg.andreev.067@example.org</x:v>
      </x:c>
      <x:c r="H75" s="41" t="str">
        <x:v>+7 (926) 267-67-69</x:v>
      </x:c>
      <x:c r="I75" s="46" t="str">
        <x:v>2024-06-06</x:v>
      </x:c>
      <x:c r="J75" s="46" t="str">
        <x:v>OK</x:v>
      </x:c>
    </x:row>
    <x:row r="76" ht="22" customHeight="1">
      <x:c r="A76" s="48" t="n">
        <x:v>68</x:v>
      </x:c>
      <x:c r="B76" s="48" t="str">
        <x:v>EMP-0068</x:v>
      </x:c>
      <x:c r="C76" s="49" t="str">
        <x:v>Гаврилова Анна Алексеевна</x:v>
      </x:c>
      <x:c r="D76" s="49" t="str">
        <x:v>Клиентский сервис</x:v>
      </x:c>
      <x:c r="E76" s="49" t="str">
        <x:v>Специалист поддержки</x:v>
      </x:c>
      <x:c r="F76" s="50" t="n">
        <x:v>62000</x:v>
      </x:c>
      <x:c r="G76" s="49" t="str">
        <x:v>anna.gavrilova.068@example.org</x:v>
      </x:c>
      <x:c r="H76" s="49" t="str">
        <x:v>+7 (927) 268-68-76</x:v>
      </x:c>
      <x:c r="I76" s="48" t="str">
        <x:v>2020-02-10</x:v>
      </x:c>
      <x:c r="J76" s="48" t="str">
        <x:v>OK</x:v>
      </x:c>
    </x:row>
    <x:row r="77" ht="22" customHeight="1">
      <x:c r="A77" s="46" t="n">
        <x:v>69</x:v>
      </x:c>
      <x:c r="B77" s="46" t="str">
        <x:v>EMP-0069</x:v>
      </x:c>
      <x:c r="C77" s="41" t="str">
        <x:v>Михайлов Андрей Владимирович</x:v>
      </x:c>
      <x:c r="D77" s="41" t="str">
        <x:v>Клиентский сервис</x:v>
      </x:c>
      <x:c r="E77" s="41" t="str">
        <x:v>Координатор сервиса</x:v>
      </x:c>
      <x:c r="F77" s="44" t="n">
        <x:v>86000</x:v>
      </x:c>
      <x:c r="G77" s="41" t="str">
        <x:v>andrey.mihaylov.069@example.org</x:v>
      </x:c>
      <x:c r="H77" s="41" t="str">
        <x:v>+7 (928) 269-69-83</x:v>
      </x:c>
      <x:c r="I77" s="46" t="str">
        <x:v>2015-03-28</x:v>
      </x:c>
      <x:c r="J77" s="46" t="str">
        <x:v>OK</x:v>
      </x:c>
    </x:row>
    <x:row r="78" ht="22" customHeight="1">
      <x:c r="A78" s="48" t="n">
        <x:v>70</x:v>
      </x:c>
      <x:c r="B78" s="48" t="str">
        <x:v>EMP-0070</x:v>
      </x:c>
      <x:c r="C78" s="49" t="str">
        <x:v>Степанова Ксения Игоревна</x:v>
      </x:c>
      <x:c r="D78" s="49" t="str">
        <x:v>Клиентский сервис</x:v>
      </x:c>
      <x:c r="E78" s="49" t="str">
        <x:v>Старший специалист</x:v>
      </x:c>
      <x:c r="F78" s="50" t="n">
        <x:v>66000</x:v>
      </x:c>
      <x:c r="G78" s="49" t="str">
        <x:v>kseniya.stepanova.070@example.org</x:v>
      </x:c>
      <x:c r="H78" s="49" t="str">
        <x:v>+7 (924) 270-70-90</x:v>
      </x:c>
      <x:c r="I78" s="48" t="str">
        <x:v>2022-05-13</x:v>
      </x:c>
      <x:c r="J78" s="48" t="str">
        <x:v>OK</x:v>
      </x:c>
    </x:row>
    <x:row r="79" ht="22" customHeight="1">
      <x:c r="A79" s="46" t="n">
        <x:v>71</x:v>
      </x:c>
      <x:c r="B79" s="46" t="str">
        <x:v>EMP-0071</x:v>
      </x:c>
      <x:c r="C79" s="41" t="str">
        <x:v>Жуков Тимофей Павлович</x:v>
      </x:c>
      <x:c r="D79" s="41" t="str">
        <x:v>Клиентский сервис</x:v>
      </x:c>
      <x:c r="E79" s="41" t="str">
        <x:v>Менеджер по работе с клиентами</x:v>
      </x:c>
      <x:c r="F79" s="44" t="n">
        <x:v>74000</x:v>
      </x:c>
      <x:c r="G79" s="41" t="str">
        <x:v>timofey.zhukov.071@example.org</x:v>
      </x:c>
      <x:c r="H79" s="41" t="str">
        <x:v>+7 (925) 271-71-97</x:v>
      </x:c>
      <x:c r="I79" s="46" t="str">
        <x:v>2016-11-29</x:v>
      </x:c>
      <x:c r="J79" s="46" t="str">
        <x:v>OK</x:v>
      </x:c>
    </x:row>
    <x:row r="80" ht="22" customHeight="1">
      <x:c r="A80" s="48" t="n">
        <x:v>72</x:v>
      </x:c>
      <x:c r="B80" s="48" t="str">
        <x:v>EMP-0072</x:v>
      </x:c>
      <x:c r="C80" s="49" t="str">
        <x:v>Васильева Ольга Олеговна</x:v>
      </x:c>
      <x:c r="D80" s="49" t="str">
        <x:v>Клиентский сервис</x:v>
      </x:c>
      <x:c r="E80" s="49" t="str">
        <x:v>Специалист поддержки</x:v>
      </x:c>
      <x:c r="F80" s="50" t="n">
        <x:v>62000</x:v>
      </x:c>
      <x:c r="G80" s="49" t="str">
        <x:v>olga.vasileva.072@example.org</x:v>
      </x:c>
      <x:c r="H80" s="49" t="str">
        <x:v>+7 (926) 272-72-04</x:v>
      </x:c>
      <x:c r="I80" s="48" t="str">
        <x:v>2024-04-09</x:v>
      </x:c>
      <x:c r="J80" s="48" t="str">
        <x:v>OK</x:v>
      </x:c>
    </x:row>
    <x:row r="81" ht="22" customHeight="1">
      <x:c r="A81" s="46" t="n">
        <x:v>73</x:v>
      </x:c>
      <x:c r="B81" s="46" t="str">
        <x:v>EMP-0073</x:v>
      </x:c>
      <x:c r="C81" s="41" t="str">
        <x:v>Егоров Роман Николаевич</x:v>
      </x:c>
      <x:c r="D81" s="41" t="str">
        <x:v>Клиентский сервис</x:v>
      </x:c>
      <x:c r="E81" s="41" t="str">
        <x:v>Координатор сервиса</x:v>
      </x:c>
      <x:c r="F81" s="44" t="n">
        <x:v>82000</x:v>
      </x:c>
      <x:c r="G81" s="41" t="str">
        <x:v>roman.egorov.073@example.org</x:v>
      </x:c>
      <x:c r="H81" s="41" t="str">
        <x:v>+7 (927) 273-73-11</x:v>
      </x:c>
      <x:c r="I81" s="46" t="str">
        <x:v>2015-01-08</x:v>
      </x:c>
      <x:c r="J81" s="46" t="str">
        <x:v>OK</x:v>
      </x:c>
    </x:row>
    <x:row r="82" ht="22" customHeight="1">
      <x:c r="A82" s="48" t="n">
        <x:v>74</x:v>
      </x:c>
      <x:c r="B82" s="48" t="str">
        <x:v>EMP-0074</x:v>
      </x:c>
      <x:c r="C82" s="49" t="str">
        <x:v>Тарасова Кристина Андреевна</x:v>
      </x:c>
      <x:c r="D82" s="49" t="str">
        <x:v>Клиентский сервис</x:v>
      </x:c>
      <x:c r="E82" s="49" t="str">
        <x:v>Старший специалист</x:v>
      </x:c>
      <x:c r="F82" s="50" t="n">
        <x:v>62000</x:v>
      </x:c>
      <x:c r="G82" s="49" t="str">
        <x:v>kristina.tarasova.074@example.org</x:v>
      </x:c>
      <x:c r="H82" s="49" t="str">
        <x:v>+7 (928) 274-74-18</x:v>
      </x:c>
      <x:c r="I82" s="48" t="str">
        <x:v>2017-06-26</x:v>
      </x:c>
      <x:c r="J82" s="48" t="str">
        <x:v>OK</x:v>
      </x:c>
    </x:row>
    <x:row r="83" ht="22" customHeight="1">
      <x:c r="A83" s="46" t="n">
        <x:v>75</x:v>
      </x:c>
      <x:c r="B83" s="46" t="str">
        <x:v>EMP-0075</x:v>
      </x:c>
      <x:c r="C83" s="41" t="str">
        <x:v>Смирнов Дмитрий Викторович</x:v>
      </x:c>
      <x:c r="D83" s="41" t="str">
        <x:v>Клиентский сервис</x:v>
      </x:c>
      <x:c r="E83" s="41" t="str">
        <x:v>Менеджер по работе с клиентами</x:v>
      </x:c>
      <x:c r="F83" s="44" t="n">
        <x:v>90000</x:v>
      </x:c>
      <x:c r="G83" s="41" t="str">
        <x:v>dmitriy.smirnov.075@example.org</x:v>
      </x:c>
      <x:c r="H83" s="41" t="str">
        <x:v>+7 (924) 275-75-25</x:v>
      </x:c>
      <x:c r="I83" s="46" t="str">
        <x:v>2022-12-31</x:v>
      </x:c>
      <x:c r="J83" s="46" t="str">
        <x:v>OK</x:v>
      </x:c>
    </x:row>
    <x:row r="84" ht="22" customHeight="1">
      <x:c r="A84" s="48" t="n">
        <x:v>76</x:v>
      </x:c>
      <x:c r="B84" s="48" t="str">
        <x:v>EMP-0076</x:v>
      </x:c>
      <x:c r="C84" s="49" t="str">
        <x:v>Алексеева Виктория Александровна</x:v>
      </x:c>
      <x:c r="D84" s="49" t="str">
        <x:v>Клиентский сервис</x:v>
      </x:c>
      <x:c r="E84" s="49" t="str">
        <x:v>Специалист поддержки</x:v>
      </x:c>
      <x:c r="F84" s="50" t="n">
        <x:v>78000</x:v>
      </x:c>
      <x:c r="G84" s="49" t="str">
        <x:v>viktoriya.alekseeva.076@example.org</x:v>
      </x:c>
      <x:c r="H84" s="49" t="str">
        <x:v>+7 (925) 276-76-32</x:v>
      </x:c>
      <x:c r="I84" s="48" t="str">
        <x:v>2017-04-30</x:v>
      </x:c>
      <x:c r="J84" s="48" t="str">
        <x:v>OK</x:v>
      </x:c>
    </x:row>
    <x:row r="85" ht="22" customHeight="1">
      <x:c r="A85" s="46" t="n">
        <x:v>77</x:v>
      </x:c>
      <x:c r="B85" s="46" t="str">
        <x:v>EMP-0077</x:v>
      </x:c>
      <x:c r="C85" s="41" t="str">
        <x:v>Киселёва Вероника Михайловна</x:v>
      </x:c>
      <x:c r="D85" s="41" t="str">
        <x:v>Финансы</x:v>
      </x:c>
      <x:c r="E85" s="41" t="str">
        <x:v>Финансовый аналитик</x:v>
      </x:c>
      <x:c r="F85" s="44" t="n">
        <x:v>87000</x:v>
      </x:c>
      <x:c r="G85" s="41" t="str">
        <x:v>veronika.kiseleva.077@example.org</x:v>
      </x:c>
      <x:c r="H85" s="58" t="str">
        <x:v>+7 900 000-77-77</x:v>
      </x:c>
      <x:c r="I85" s="46" t="str">
        <x:v>2022-04-16</x:v>
      </x:c>
      <x:c r="J85" s="55" t="str">
        <x:v>Ошибка</x:v>
      </x:c>
    </x:row>
    <x:row r="86" ht="22" customHeight="1">
      <x:c r="A86" s="48" t="n">
        <x:v>78</x:v>
      </x:c>
      <x:c r="B86" s="48" t="str">
        <x:v>EMP-0078</x:v>
      </x:c>
      <x:c r="C86" s="49" t="str">
        <x:v>Данилов Арсений Алексеевич</x:v>
      </x:c>
      <x:c r="D86" s="49" t="str">
        <x:v>Финансы</x:v>
      </x:c>
      <x:c r="E86" s="49" t="str">
        <x:v>Бухгалтер</x:v>
      </x:c>
      <x:c r="F86" s="50" t="n">
        <x:v>95000</x:v>
      </x:c>
      <x:c r="G86" s="49" t="str">
        <x:v>arseniy.danilov.078@example.org</x:v>
      </x:c>
      <x:c r="H86" s="49" t="str">
        <x:v>+7 (933) 278-78-46</x:v>
      </x:c>
      <x:c r="I86" s="48" t="str">
        <x:v>2021-01-15</x:v>
      </x:c>
      <x:c r="J86" s="48" t="str">
        <x:v>OK</x:v>
      </x:c>
    </x:row>
    <x:row r="87" ht="22" customHeight="1">
      <x:c r="A87" s="46" t="n">
        <x:v>79</x:v>
      </x:c>
      <x:c r="B87" s="46" t="str">
        <x:v>EMP-0079</x:v>
      </x:c>
      <x:c r="C87" s="41" t="str">
        <x:v>Морозова Ирина Владимировна</x:v>
      </x:c>
      <x:c r="D87" s="41" t="str">
        <x:v>Финансы</x:v>
      </x:c>
      <x:c r="E87" s="41" t="str">
        <x:v>Ведущий бухгалтер</x:v>
      </x:c>
      <x:c r="F87" s="44" t="n">
        <x:v>109000</x:v>
      </x:c>
      <x:c r="G87" s="41" t="str">
        <x:v>irina.morozova.079@example.org</x:v>
      </x:c>
      <x:c r="H87" s="41" t="str">
        <x:v>+7 (934) 279-79-53</x:v>
      </x:c>
      <x:c r="I87" s="46" t="str">
        <x:v>2020-07-21</x:v>
      </x:c>
      <x:c r="J87" s="46" t="str">
        <x:v>OK</x:v>
      </x:c>
    </x:row>
    <x:row r="88" ht="22" customHeight="1">
      <x:c r="A88" s="48" t="n">
        <x:v>80</x:v>
      </x:c>
      <x:c r="B88" s="48" t="str">
        <x:v>EMP-0080</x:v>
      </x:c>
      <x:c r="C88" s="49" t="str">
        <x:v>Андреев Владимир Игоревич</x:v>
      </x:c>
      <x:c r="D88" s="49" t="str">
        <x:v>Финансы</x:v>
      </x:c>
      <x:c r="E88" s="49" t="str">
        <x:v>Экономист</x:v>
      </x:c>
      <x:c r="F88" s="50" t="n">
        <x:v>95000</x:v>
      </x:c>
      <x:c r="G88" s="49" t="str">
        <x:v>vladimir.andreev.080@example.org</x:v>
      </x:c>
      <x:c r="H88" s="49" t="str">
        <x:v>+7 (930) 280-80-60</x:v>
      </x:c>
      <x:c r="I88" s="48" t="str">
        <x:v>2025-04-30</x:v>
      </x:c>
      <x:c r="J88" s="48" t="str">
        <x:v>OK</x:v>
      </x:c>
    </x:row>
    <x:row r="89" ht="22" customHeight="1">
      <x:c r="A89" s="46" t="n">
        <x:v>81</x:v>
      </x:c>
      <x:c r="B89" s="46" t="str">
        <x:v>EMP-0081</x:v>
      </x:c>
      <x:c r="C89" s="41" t="str">
        <x:v>Гаврилова Марина Павловна</x:v>
      </x:c>
      <x:c r="D89" s="41" t="str">
        <x:v>Финансы</x:v>
      </x:c>
      <x:c r="E89" s="41" t="str">
        <x:v>Финансовый аналитик</x:v>
      </x:c>
      <x:c r="F89" s="44" t="n">
        <x:v>95000</x:v>
      </x:c>
      <x:c r="G89" s="41" t="str">
        <x:v>marina.gavrilova.081@example.org</x:v>
      </x:c>
      <x:c r="H89" s="41" t="str">
        <x:v>+7 (931) 281-81-67</x:v>
      </x:c>
      <x:c r="I89" s="46" t="str">
        <x:v>2023-02-28</x:v>
      </x:c>
      <x:c r="J89" s="46" t="str">
        <x:v>OK</x:v>
      </x:c>
    </x:row>
    <x:row r="90" ht="22" customHeight="1">
      <x:c r="A90" s="48" t="n">
        <x:v>82</x:v>
      </x:c>
      <x:c r="B90" s="48" t="str">
        <x:v>EMP-0082</x:v>
      </x:c>
      <x:c r="C90" s="49" t="str">
        <x:v>Михайлов Артём Олегович</x:v>
      </x:c>
      <x:c r="D90" s="49" t="str">
        <x:v>Финансы</x:v>
      </x:c>
      <x:c r="E90" s="49" t="str">
        <x:v>Бухгалтер</x:v>
      </x:c>
      <x:c r="F90" s="50" t="n">
        <x:v>87000</x:v>
      </x:c>
      <x:c r="G90" s="49" t="str">
        <x:v>artem.mihaylov.082@example.org</x:v>
      </x:c>
      <x:c r="H90" s="49" t="str">
        <x:v>+7 (932) 282-82-74</x:v>
      </x:c>
      <x:c r="I90" s="48" t="str">
        <x:v>2020-10-26</x:v>
      </x:c>
      <x:c r="J90" s="48" t="str">
        <x:v>OK</x:v>
      </x:c>
    </x:row>
    <x:row r="91" ht="22" customHeight="1">
      <x:c r="A91" s="46" t="n">
        <x:v>83</x:v>
      </x:c>
      <x:c r="B91" s="46" t="str">
        <x:v>EMP-0083</x:v>
      </x:c>
      <x:c r="C91" s="41" t="str">
        <x:v>Степанова Полина Николаевна</x:v>
      </x:c>
      <x:c r="D91" s="41" t="str">
        <x:v>Финансы</x:v>
      </x:c>
      <x:c r="E91" s="41" t="str">
        <x:v>Ведущий бухгалтер</x:v>
      </x:c>
      <x:c r="F91" s="44" t="n">
        <x:v>117000</x:v>
      </x:c>
      <x:c r="G91" s="41" t="str">
        <x:v>polina.stepanova.083@example.org</x:v>
      </x:c>
      <x:c r="H91" s="41" t="str">
        <x:v>+7 (933) 283-83-81</x:v>
      </x:c>
      <x:c r="I91" s="46" t="str">
        <x:v>2018-12-19</x:v>
      </x:c>
      <x:c r="J91" s="46" t="str">
        <x:v>OK</x:v>
      </x:c>
    </x:row>
    <x:row r="92" ht="22" customHeight="1">
      <x:c r="A92" s="48" t="n">
        <x:v>84</x:v>
      </x:c>
      <x:c r="B92" s="48" t="str">
        <x:v>EMP-0084</x:v>
      </x:c>
      <x:c r="C92" s="49" t="str">
        <x:v>Жуков Олег Андреевич</x:v>
      </x:c>
      <x:c r="D92" s="49" t="str">
        <x:v>Финансы</x:v>
      </x:c>
      <x:c r="E92" s="49" t="str">
        <x:v>Экономист</x:v>
      </x:c>
      <x:c r="F92" s="50" t="n">
        <x:v>115000</x:v>
      </x:c>
      <x:c r="G92" s="49" t="str">
        <x:v>oleg.zhukov.084@example.org</x:v>
      </x:c>
      <x:c r="H92" s="49" t="str">
        <x:v>+7 (934) 284-84-88</x:v>
      </x:c>
      <x:c r="I92" s="48" t="str">
        <x:v>2018-12-22</x:v>
      </x:c>
      <x:c r="J92" s="48" t="str">
        <x:v>OK</x:v>
      </x:c>
    </x:row>
    <x:row r="93" ht="22" customHeight="1">
      <x:c r="A93" s="46" t="n">
        <x:v>85</x:v>
      </x:c>
      <x:c r="B93" s="46" t="str">
        <x:v>EMP-0085</x:v>
      </x:c>
      <x:c r="C93" s="41" t="str">
        <x:v>Васильева Анна Викторовна</x:v>
      </x:c>
      <x:c r="D93" s="41" t="str">
        <x:v>Финансы</x:v>
      </x:c>
      <x:c r="E93" s="41" t="str">
        <x:v>Финансовый аналитик</x:v>
      </x:c>
      <x:c r="F93" s="44" t="n">
        <x:v>95000</x:v>
      </x:c>
      <x:c r="G93" s="41" t="str">
        <x:v>anna.vasileva.085@example.org</x:v>
      </x:c>
      <x:c r="H93" s="41" t="str">
        <x:v>+7 (930) 285-85-95</x:v>
      </x:c>
      <x:c r="I93" s="46" t="str">
        <x:v>2023-07-03</x:v>
      </x:c>
      <x:c r="J93" s="46" t="str">
        <x:v>OK</x:v>
      </x:c>
    </x:row>
    <x:row r="94" ht="22" customHeight="1">
      <x:c r="A94" s="48" t="n">
        <x:v>86</x:v>
      </x:c>
      <x:c r="B94" s="48" t="str">
        <x:v>EMP-0086</x:v>
      </x:c>
      <x:c r="C94" s="49" t="str">
        <x:v>Егоров Андрей Александрович</x:v>
      </x:c>
      <x:c r="D94" s="49" t="str">
        <x:v>Финансы</x:v>
      </x:c>
      <x:c r="E94" s="49" t="str">
        <x:v>Бухгалтер</x:v>
      </x:c>
      <x:c r="F94" s="50" t="n">
        <x:v>123000</x:v>
      </x:c>
      <x:c r="G94" s="49" t="str">
        <x:v>andrey.egorov.086@example.org</x:v>
      </x:c>
      <x:c r="H94" s="49" t="str">
        <x:v>+7 (931) 286-86-02</x:v>
      </x:c>
      <x:c r="I94" s="48" t="str">
        <x:v>2017-10-28</x:v>
      </x:c>
      <x:c r="J94" s="48" t="str">
        <x:v>OK</x:v>
      </x:c>
    </x:row>
    <x:row r="95" ht="22" customHeight="1">
      <x:c r="A95" s="46" t="n">
        <x:v>87</x:v>
      </x:c>
      <x:c r="B95" s="46" t="str">
        <x:v>EMP-0087</x:v>
      </x:c>
      <x:c r="C95" s="41" t="str">
        <x:v>Тарасова Ксения Сергеевна</x:v>
      </x:c>
      <x:c r="D95" s="41" t="str">
        <x:v>Финансы</x:v>
      </x:c>
      <x:c r="E95" s="41" t="str">
        <x:v>Ведущий бухгалтер</x:v>
      </x:c>
      <x:c r="F95" s="44" t="n">
        <x:v>109000</x:v>
      </x:c>
      <x:c r="G95" s="41" t="str">
        <x:v>kseniya.tarasova.087@example.org</x:v>
      </x:c>
      <x:c r="H95" s="41" t="str">
        <x:v>+7 (932) 287-87-09</x:v>
      </x:c>
      <x:c r="I95" s="46" t="str">
        <x:v>2018-03-13</x:v>
      </x:c>
      <x:c r="J95" s="46" t="str">
        <x:v>OK</x:v>
      </x:c>
    </x:row>
    <x:row r="96" ht="22" customHeight="1">
      <x:c r="A96" s="48" t="n">
        <x:v>88</x:v>
      </x:c>
      <x:c r="B96" s="48" t="str">
        <x:v>EMP-0088</x:v>
      </x:c>
      <x:c r="C96" s="49" t="str">
        <x:v>Смирнов Тимофей Дмитриевич</x:v>
      </x:c>
      <x:c r="D96" s="49" t="str">
        <x:v>Финансы</x:v>
      </x:c>
      <x:c r="E96" s="49" t="str">
        <x:v>Экономист</x:v>
      </x:c>
      <x:c r="F96" s="50" t="n">
        <x:v>111000</x:v>
      </x:c>
      <x:c r="G96" s="49" t="str">
        <x:v>timofey.smirnov.088@example.org</x:v>
      </x:c>
      <x:c r="H96" s="49" t="str">
        <x:v>+7 (933) 288-88-16</x:v>
      </x:c>
      <x:c r="I96" s="48" t="str">
        <x:v>2018-09-19</x:v>
      </x:c>
      <x:c r="J96" s="48" t="str">
        <x:v>OK</x:v>
      </x:c>
    </x:row>
    <x:row r="97" ht="22" customHeight="1">
      <x:c r="A97" s="46" t="n">
        <x:v>89</x:v>
      </x:c>
      <x:c r="B97" s="46" t="str">
        <x:v>EMP-0089</x:v>
      </x:c>
      <x:c r="C97" s="41" t="str">
        <x:v>Лебедев Михаил Владимирович</x:v>
      </x:c>
      <x:c r="D97" s="41" t="str">
        <x:v>HR и обучение</x:v>
      </x:c>
      <x:c r="E97" s="41" t="str">
        <x:v>Специалист по обучению</x:v>
      </x:c>
      <x:c r="F97" s="44" t="n">
        <x:v>74000</x:v>
      </x:c>
      <x:c r="G97" s="41" t="str">
        <x:v>mihail.lebedev.089@example.org</x:v>
      </x:c>
      <x:c r="H97" s="41" t="str">
        <x:v>+7 (940) 289-89-23</x:v>
      </x:c>
      <x:c r="I97" s="46" t="str">
        <x:v>2017-02-09</x:v>
      </x:c>
      <x:c r="J97" s="46" t="str">
        <x:v>OK</x:v>
      </x:c>
    </x:row>
    <x:row r="98" ht="22" customHeight="1">
      <x:c r="A98" s="48" t="n">
        <x:v>90</x:v>
      </x:c>
      <x:c r="B98" s="48" t="str">
        <x:v>EMP-0090</x:v>
      </x:c>
      <x:c r="C98" s="49" t="str">
        <x:v>Киселёва Дарья Игоревна</x:v>
      </x:c>
      <x:c r="D98" s="49" t="str">
        <x:v>HR и обучение</x:v>
      </x:c>
      <x:c r="E98" s="49" t="str">
        <x:v>Рекрутер</x:v>
      </x:c>
      <x:c r="F98" s="50" t="n">
        <x:v>90000</x:v>
      </x:c>
      <x:c r="G98" s="49" t="str">
        <x:v>darya.kiseleva.090@example.org</x:v>
      </x:c>
      <x:c r="H98" s="49" t="str">
        <x:v>+7 (936) 290-90-30</x:v>
      </x:c>
      <x:c r="I98" s="48" t="str">
        <x:v>2025-03-04</x:v>
      </x:c>
      <x:c r="J98" s="48" t="str">
        <x:v>OK</x:v>
      </x:c>
    </x:row>
    <x:row r="99" ht="22" customHeight="1">
      <x:c r="A99" s="46" t="n">
        <x:v>91</x:v>
      </x:c>
      <x:c r="B99" s="46" t="str">
        <x:v>EMP-0091</x:v>
      </x:c>
      <x:c r="C99" s="41" t="str">
        <x:v>Данилов Иван Павлович</x:v>
      </x:c>
      <x:c r="D99" s="41" t="str">
        <x:v>HR и обучение</x:v>
      </x:c>
      <x:c r="E99" s="41" t="str">
        <x:v>HR-менеджер</x:v>
      </x:c>
      <x:c r="F99" s="44" t="n">
        <x:v>82000</x:v>
      </x:c>
      <x:c r="G99" s="41" t="str">
        <x:v>ivan.danilov.091@example.org</x:v>
      </x:c>
      <x:c r="H99" s="41" t="str">
        <x:v>+7 (937) 291-91-37</x:v>
      </x:c>
      <x:c r="I99" s="46" t="str">
        <x:v>2017-04-09</x:v>
      </x:c>
      <x:c r="J99" s="46" t="str">
        <x:v>OK</x:v>
      </x:c>
    </x:row>
    <x:row r="100" ht="22" customHeight="1">
      <x:c r="A100" s="48" t="n">
        <x:v>92</x:v>
      </x:c>
      <x:c r="B100" s="48" t="str">
        <x:v>EMP-0092</x:v>
      </x:c>
      <x:c r="C100" s="49" t="str">
        <x:v>Морозова Мария Олеговна</x:v>
      </x:c>
      <x:c r="D100" s="49" t="str">
        <x:v>HR и обучение</x:v>
      </x:c>
      <x:c r="E100" s="49" t="str">
        <x:v>HR-аналитик</x:v>
      </x:c>
      <x:c r="F100" s="50" t="n">
        <x:v>66000</x:v>
      </x:c>
      <x:c r="G100" s="49" t="str">
        <x:v>mariya.morozova.092@example.org</x:v>
      </x:c>
      <x:c r="H100" s="49" t="str">
        <x:v>+7 (938) 292-92-44</x:v>
      </x:c>
      <x:c r="I100" s="48" t="str">
        <x:v>2017-09-06</x:v>
      </x:c>
      <x:c r="J100" s="48" t="str">
        <x:v>OK</x:v>
      </x:c>
    </x:row>
    <x:row r="101" ht="22" customHeight="1">
      <x:c r="A101" s="46" t="n">
        <x:v>93</x:v>
      </x:c>
      <x:c r="B101" s="46" t="str">
        <x:v>EMP-0093</x:v>
      </x:c>
      <x:c r="C101" s="41" t="str">
        <x:v>Андреев Павел Николаевич</x:v>
      </x:c>
      <x:c r="D101" s="41" t="str">
        <x:v>HR и обучение</x:v>
      </x:c>
      <x:c r="E101" s="41" t="str">
        <x:v>Специалист по обучению</x:v>
      </x:c>
      <x:c r="F101" s="44" t="n">
        <x:v>86000</x:v>
      </x:c>
      <x:c r="G101" s="41" t="str">
        <x:v>pavel.andreev.093@example.org</x:v>
      </x:c>
      <x:c r="H101" s="41" t="str">
        <x:v>+7 (939) 293-93-51</x:v>
      </x:c>
      <x:c r="I101" s="46" t="str">
        <x:v>2019-01-01</x:v>
      </x:c>
      <x:c r="J101" s="46" t="str">
        <x:v>OK</x:v>
      </x:c>
    </x:row>
    <x:row r="102" ht="22" customHeight="1">
      <x:c r="A102" s="48" t="n">
        <x:v>94</x:v>
      </x:c>
      <x:c r="B102" s="48" t="str">
        <x:v>EMP-0094</x:v>
      </x:c>
      <x:c r="C102" s="49" t="str">
        <x:v>Гаврилова Вероника Андреевна</x:v>
      </x:c>
      <x:c r="D102" s="49" t="str">
        <x:v>HR и обучение</x:v>
      </x:c>
      <x:c r="E102" s="49" t="str">
        <x:v>Рекрутер</x:v>
      </x:c>
      <x:c r="F102" s="50" t="n">
        <x:v>70000</x:v>
      </x:c>
      <x:c r="G102" s="58" t="str">
        <x:v>@example.org</x:v>
      </x:c>
      <x:c r="H102" s="49" t="str">
        <x:v>+7 (940) 294-94-58</x:v>
      </x:c>
      <x:c r="I102" s="48" t="str">
        <x:v>2021-02-21</x:v>
      </x:c>
      <x:c r="J102" s="55" t="str">
        <x:v>Ошибка</x:v>
      </x:c>
    </x:row>
    <x:row r="103" ht="22" customHeight="1">
      <x:c r="A103" s="46" t="n">
        <x:v>95</x:v>
      </x:c>
      <x:c r="B103" s="46" t="str">
        <x:v>EMP-0095</x:v>
      </x:c>
      <x:c r="C103" s="41" t="str">
        <x:v>Михайлов Арсений Викторович</x:v>
      </x:c>
      <x:c r="D103" s="41" t="str">
        <x:v>HR и обучение</x:v>
      </x:c>
      <x:c r="E103" s="41" t="str">
        <x:v>HR-менеджер</x:v>
      </x:c>
      <x:c r="F103" s="44" t="n">
        <x:v>70000</x:v>
      </x:c>
      <x:c r="G103" s="41" t="str">
        <x:v>arseniy.mihaylov.095@example.org</x:v>
      </x:c>
      <x:c r="H103" s="41" t="str">
        <x:v>+7 (936) 295-95-65</x:v>
      </x:c>
      <x:c r="I103" s="46" t="str">
        <x:v>2017-04-08</x:v>
      </x:c>
      <x:c r="J103" s="46" t="str">
        <x:v>OK</x:v>
      </x:c>
    </x:row>
    <x:row r="104" ht="22" customHeight="1">
      <x:c r="A104" s="48" t="n">
        <x:v>96</x:v>
      </x:c>
      <x:c r="B104" s="48" t="str">
        <x:v>EMP-0096</x:v>
      </x:c>
      <x:c r="C104" s="49" t="str">
        <x:v>Степанова Ирина Александровна</x:v>
      </x:c>
      <x:c r="D104" s="49" t="str">
        <x:v>HR и обучение</x:v>
      </x:c>
      <x:c r="E104" s="49" t="str">
        <x:v>HR-аналитик</x:v>
      </x:c>
      <x:c r="F104" s="50" t="n">
        <x:v>86000</x:v>
      </x:c>
      <x:c r="G104" s="49" t="str">
        <x:v>irina.stepanova.096@example.org</x:v>
      </x:c>
      <x:c r="H104" s="49" t="str">
        <x:v>+7 (937) 296-96-72</x:v>
      </x:c>
      <x:c r="I104" s="48" t="str">
        <x:v>2024-06-19</x:v>
      </x:c>
      <x:c r="J104" s="48" t="str">
        <x:v>OK</x:v>
      </x:c>
    </x:row>
    <x:row r="105" ht="22" customHeight="1">
      <x:c r="A105" s="46" t="n">
        <x:v>97</x:v>
      </x:c>
      <x:c r="B105" s="46" t="str">
        <x:v>EMP-0097</x:v>
      </x:c>
      <x:c r="C105" s="41" t="str">
        <x:v>Жуков Владимир Сергеевич</x:v>
      </x:c>
      <x:c r="D105" s="41" t="str">
        <x:v>HR и обучение</x:v>
      </x:c>
      <x:c r="E105" s="41" t="str">
        <x:v>Специалист по обучению</x:v>
      </x:c>
      <x:c r="F105" s="44" t="n">
        <x:v>78000</x:v>
      </x:c>
      <x:c r="G105" s="41" t="str">
        <x:v>vladimir.zhukov.097@example.org</x:v>
      </x:c>
      <x:c r="H105" s="41" t="str">
        <x:v>+7 (938) 297-97-79</x:v>
      </x:c>
      <x:c r="I105" s="46" t="str">
        <x:v>2018-08-05</x:v>
      </x:c>
      <x:c r="J105" s="46" t="str">
        <x:v>OK</x:v>
      </x:c>
    </x:row>
    <x:row r="106" ht="22" customHeight="1">
      <x:c r="A106" s="48" t="n">
        <x:v>98</x:v>
      </x:c>
      <x:c r="B106" s="48" t="str">
        <x:v>EMP-0098</x:v>
      </x:c>
      <x:c r="C106" s="49" t="str">
        <x:v>Васильева Марина Дмитриевна</x:v>
      </x:c>
      <x:c r="D106" s="49" t="str">
        <x:v>HR и обучение</x:v>
      </x:c>
      <x:c r="E106" s="49" t="str">
        <x:v>Рекрутер</x:v>
      </x:c>
      <x:c r="F106" s="50" t="n">
        <x:v>78000</x:v>
      </x:c>
      <x:c r="G106" s="49" t="str">
        <x:v>marina.vasileva.098@example.org</x:v>
      </x:c>
      <x:c r="H106" s="49" t="str">
        <x:v>+7 (939) 298-98-86</x:v>
      </x:c>
      <x:c r="I106" s="48" t="str">
        <x:v>2022-03-18</x:v>
      </x:c>
      <x:c r="J106" s="48" t="str">
        <x:v>OK</x:v>
      </x:c>
    </x:row>
    <x:row r="107" ht="22" customHeight="1">
      <x:c r="A107" s="46" t="n">
        <x:v>99</x:v>
      </x:c>
      <x:c r="B107" s="46" t="str">
        <x:v>EMP-0099</x:v>
      </x:c>
      <x:c r="C107" s="41" t="str">
        <x:v>Егоров Артём Михайлович</x:v>
      </x:c>
      <x:c r="D107" s="41" t="str">
        <x:v>HR и обучение</x:v>
      </x:c>
      <x:c r="E107" s="41" t="str">
        <x:v>HR-менеджер</x:v>
      </x:c>
      <x:c r="F107" s="44" t="n">
        <x:v>82000</x:v>
      </x:c>
      <x:c r="G107" s="41" t="str">
        <x:v>artem.egorov.099@example.org</x:v>
      </x:c>
      <x:c r="H107" s="41" t="str">
        <x:v>+7 (940) 299-99-93</x:v>
      </x:c>
      <x:c r="I107" s="46" t="str">
        <x:v>2017-04-09</x:v>
      </x:c>
      <x:c r="J107" s="46" t="str">
        <x:v>OK</x:v>
      </x:c>
    </x:row>
    <x:row r="108" ht="22" customHeight="1">
      <x:c r="A108" s="48" t="n">
        <x:v>100</x:v>
      </x:c>
      <x:c r="B108" s="48" t="str">
        <x:v>EMP-0100</x:v>
      </x:c>
      <x:c r="C108" s="49" t="str">
        <x:v>Белов Роман Игоревич</x:v>
      </x:c>
      <x:c r="D108" s="49" t="str">
        <x:v>Юридический отдел</x:v>
      </x:c>
      <x:c r="E108" s="49" t="str">
        <x:v>Специалист договорного отдела</x:v>
      </x:c>
      <x:c r="F108" s="50" t="n">
        <x:v>124000</x:v>
      </x:c>
      <x:c r="G108" s="49" t="str">
        <x:v>roman.belov.100@example.org</x:v>
      </x:c>
      <x:c r="H108" s="49" t="str">
        <x:v>+7 (942) 300-00-00</x:v>
      </x:c>
      <x:c r="I108" s="48" t="str">
        <x:v>2025-07-23</x:v>
      </x:c>
      <x:c r="J108" s="48" t="str">
        <x:v>OK</x:v>
      </x:c>
    </x:row>
    <x:row r="109" ht="22" customHeight="1">
      <x:c r="A109" s="46" t="n">
        <x:v>101</x:v>
      </x:c>
      <x:c r="B109" s="46" t="str">
        <x:v>EMP-0101</x:v>
      </x:c>
      <x:c r="C109" s="41" t="str">
        <x:v>Кузнецова Кристина Павловна</x:v>
      </x:c>
      <x:c r="D109" s="41" t="str">
        <x:v>Юридический отдел</x:v>
      </x:c>
      <x:c r="E109" s="41" t="str">
        <x:v>Специалист договорного отдела</x:v>
      </x:c>
      <x:c r="F109" s="44" t="n">
        <x:v>124000</x:v>
      </x:c>
      <x:c r="G109" s="41" t="str">
        <x:v>kristina.kuznetsova.101@example.org</x:v>
      </x:c>
      <x:c r="H109" s="41" t="str">
        <x:v>+7 (943) 301-01-07</x:v>
      </x:c>
      <x:c r="I109" s="46" t="str">
        <x:v>2018-07-18</x:v>
      </x:c>
      <x:c r="J109" s="46" t="str">
        <x:v>OK</x:v>
      </x:c>
    </x:row>
    <x:row r="110" ht="22" customHeight="1">
      <x:c r="A110" s="48" t="n">
        <x:v>102</x:v>
      </x:c>
      <x:c r="B110" s="48" t="str">
        <x:v>EMP-0102</x:v>
      </x:c>
      <x:c r="C110" s="49" t="str">
        <x:v>Лебедев Дмитрий Олегович</x:v>
      </x:c>
      <x:c r="D110" s="49" t="str">
        <x:v>Юридический отдел</x:v>
      </x:c>
      <x:c r="E110" s="49" t="str">
        <x:v>Специалист договорного отдела</x:v>
      </x:c>
      <x:c r="F110" s="50" t="n">
        <x:v>124000</x:v>
      </x:c>
      <x:c r="G110" s="49" t="str">
        <x:v>dmitriy.lebedev.102@example.org</x:v>
      </x:c>
      <x:c r="H110" s="49" t="str">
        <x:v>+7 (944) 302-02-14</x:v>
      </x:c>
      <x:c r="I110" s="48" t="str">
        <x:v>2024-09-25</x:v>
      </x:c>
      <x:c r="J110" s="48" t="str">
        <x:v>OK</x:v>
      </x:c>
    </x:row>
    <x:row r="111" ht="22" customHeight="1">
      <x:c r="A111" s="46" t="n">
        <x:v>103</x:v>
      </x:c>
      <x:c r="B111" s="46" t="str">
        <x:v>EMP-0103</x:v>
      </x:c>
      <x:c r="C111" s="41" t="str">
        <x:v>Киселёва Виктория Николаевна</x:v>
      </x:c>
      <x:c r="D111" s="41" t="str">
        <x:v>Юридический отдел</x:v>
      </x:c>
      <x:c r="E111" s="41" t="str">
        <x:v>Специалист договорного отдела</x:v>
      </x:c>
      <x:c r="F111" s="44" t="n">
        <x:v>100000</x:v>
      </x:c>
      <x:c r="G111" s="41" t="str">
        <x:v>viktoriya.kiseleva.103@example.org</x:v>
      </x:c>
      <x:c r="H111" s="41" t="str">
        <x:v>+7 (945) 303-03-21</x:v>
      </x:c>
      <x:c r="I111" s="46" t="str">
        <x:v>2026-06-05</x:v>
      </x:c>
      <x:c r="J111" s="46" t="str">
        <x:v>OK</x:v>
      </x:c>
    </x:row>
    <x:row r="112" ht="22" customHeight="1">
      <x:c r="A112" s="48" t="n">
        <x:v>104</x:v>
      </x:c>
      <x:c r="B112" s="48" t="str">
        <x:v>EMP-0104</x:v>
      </x:c>
      <x:c r="C112" s="49" t="str">
        <x:v>Данилов Денис Андреевич</x:v>
      </x:c>
      <x:c r="D112" s="49" t="str">
        <x:v>Юридический отдел</x:v>
      </x:c>
      <x:c r="E112" s="49" t="str">
        <x:v>Специалист договорного отдела</x:v>
      </x:c>
      <x:c r="F112" s="50" t="n">
        <x:v>100000</x:v>
      </x:c>
      <x:c r="G112" s="49" t="str">
        <x:v>denis.danilov.104@example.org</x:v>
      </x:c>
      <x:c r="H112" s="49" t="str">
        <x:v>+7 (946) 304-04-28</x:v>
      </x:c>
      <x:c r="I112" s="48" t="str">
        <x:v>2017-10-31</x:v>
      </x:c>
      <x:c r="J112" s="48" t="str">
        <x:v>OK</x:v>
      </x:c>
    </x:row>
    <x:row r="113" ht="22" customHeight="1">
      <x:c r="A113" s="46" t="n">
        <x:v>105</x:v>
      </x:c>
      <x:c r="B113" s="46" t="str">
        <x:v>EMP-0105</x:v>
      </x:c>
      <x:c r="C113" s="41" t="str">
        <x:v>Морозова Диана Викторовна</x:v>
      </x:c>
      <x:c r="D113" s="41" t="str">
        <x:v>Юридический отдел</x:v>
      </x:c>
      <x:c r="E113" s="41" t="str">
        <x:v>Специалист договорного отдела</x:v>
      </x:c>
      <x:c r="F113" s="44" t="n">
        <x:v>100000</x:v>
      </x:c>
      <x:c r="G113" s="41" t="str">
        <x:v>diana.morozova.105@example.org</x:v>
      </x:c>
      <x:c r="H113" s="41" t="str">
        <x:v>+7 (942) 305-05-35</x:v>
      </x:c>
      <x:c r="I113" s="46" t="str">
        <x:v>2016-12-28</x:v>
      </x:c>
      <x:c r="J113" s="46" t="str">
        <x:v>OK</x:v>
      </x:c>
    </x:row>
    <x:row r="114" ht="22" customHeight="1">
      <x:c r="A114" s="48" t="n">
        <x:v>106</x:v>
      </x:c>
      <x:c r="B114" s="48" t="str">
        <x:v>EMP-0106</x:v>
      </x:c>
      <x:c r="C114" s="49" t="str">
        <x:v>Андреев Михаил Александрович</x:v>
      </x:c>
      <x:c r="D114" s="49" t="str">
        <x:v>Юридический отдел</x:v>
      </x:c>
      <x:c r="E114" s="49" t="str">
        <x:v>Специалист договорного отдела</x:v>
      </x:c>
      <x:c r="F114" s="50" t="n">
        <x:v>124000</x:v>
      </x:c>
      <x:c r="G114" s="49" t="str">
        <x:v>mihail.andreev.106@example.org</x:v>
      </x:c>
      <x:c r="H114" s="49" t="str">
        <x:v>+7 (943) 306-06-42</x:v>
      </x:c>
      <x:c r="I114" s="48" t="str">
        <x:v>2019-12-05</x:v>
      </x:c>
      <x:c r="J114" s="48" t="str">
        <x:v>OK</x:v>
      </x:c>
    </x:row>
    <x:row r="115" ht="22" customHeight="1">
      <x:c r="A115" s="46" t="n">
        <x:v>107</x:v>
      </x:c>
      <x:c r="B115" s="46" t="str">
        <x:v>EMP-0107</x:v>
      </x:c>
      <x:c r="C115" s="41" t="str">
        <x:v>Гаврилова Дарья Сергеевна</x:v>
      </x:c>
      <x:c r="D115" s="41" t="str">
        <x:v>Юридический отдел</x:v>
      </x:c>
      <x:c r="E115" s="41" t="str">
        <x:v>Специалист договорного отдела</x:v>
      </x:c>
      <x:c r="F115" s="44" t="n">
        <x:v>124000</x:v>
      </x:c>
      <x:c r="G115" s="41" t="str">
        <x:v>darya.gavrilova.107@example.org</x:v>
      </x:c>
      <x:c r="H115" s="41" t="str">
        <x:v>+7 (944) 307-07-49</x:v>
      </x:c>
      <x:c r="I115" s="46" t="str">
        <x:v>2015-10-03</x:v>
      </x:c>
      <x:c r="J115" s="46" t="str">
        <x:v>OK</x:v>
      </x:c>
    </x:row>
    <x:row r="116" ht="22" customHeight="1">
      <x:c r="A116" s="48" t="n">
        <x:v>108</x:v>
      </x:c>
      <x:c r="B116" s="48" t="str">
        <x:v>EMP-0108</x:v>
      </x:c>
      <x:c r="C116" s="49" t="str">
        <x:v>Михайлов Иван Дмитриевич</x:v>
      </x:c>
      <x:c r="D116" s="49" t="str">
        <x:v>Юридический отдел</x:v>
      </x:c>
      <x:c r="E116" s="49" t="str">
        <x:v>Специалист договорного отдела</x:v>
      </x:c>
      <x:c r="F116" s="50" t="n">
        <x:v>104000</x:v>
      </x:c>
      <x:c r="G116" s="49" t="str">
        <x:v>ivan.mihaylov.108@example.org</x:v>
      </x:c>
      <x:c r="H116" s="49" t="str">
        <x:v>+7 (945) 308-08-56</x:v>
      </x:c>
      <x:c r="I116" s="48" t="str">
        <x:v>2018-11-20</x:v>
      </x:c>
      <x:c r="J116" s="48" t="str">
        <x:v>OK</x:v>
      </x:c>
    </x:row>
    <x:row r="117" ht="22" customHeight="1">
      <x:c r="A117" s="46" t="n">
        <x:v>109</x:v>
      </x:c>
      <x:c r="B117" s="46" t="str">
        <x:v>EMP-0109</x:v>
      </x:c>
      <x:c r="C117" s="41" t="str">
        <x:v>Степанова Мария Михайловна</x:v>
      </x:c>
      <x:c r="D117" s="41" t="str">
        <x:v>Юридический отдел</x:v>
      </x:c>
      <x:c r="E117" s="41" t="str">
        <x:v>Специалист договорного отдела</x:v>
      </x:c>
      <x:c r="F117" s="44" t="n">
        <x:v>120000</x:v>
      </x:c>
      <x:c r="G117" s="41" t="str">
        <x:v>mariya.stepanova.109@example.org</x:v>
      </x:c>
      <x:c r="H117" s="58" t="str">
        <x:v>+7 (900) 000-109</x:v>
      </x:c>
      <x:c r="I117" s="46" t="str">
        <x:v>2019-01-13</x:v>
      </x:c>
      <x:c r="J117" s="55" t="str">
        <x:v>Ошибка</x:v>
      </x:c>
    </x:row>
    <x:row r="118" ht="22" customHeight="1">
      <x:c r="A118" s="48" t="n">
        <x:v>110</x:v>
      </x:c>
      <x:c r="B118" s="48" t="str">
        <x:v>EMP-0110</x:v>
      </x:c>
      <x:c r="C118" s="49" t="str">
        <x:v>Жуков Павел Алексеевич</x:v>
      </x:c>
      <x:c r="D118" s="49" t="str">
        <x:v>Юридический отдел</x:v>
      </x:c>
      <x:c r="E118" s="49" t="str">
        <x:v>Специалист договорного отдела</x:v>
      </x:c>
      <x:c r="F118" s="50" t="n">
        <x:v>120000</x:v>
      </x:c>
      <x:c r="G118" s="49" t="str">
        <x:v>pavel.zhukov.110@example.org</x:v>
      </x:c>
      <x:c r="H118" s="49" t="str">
        <x:v>+7 (942) 310-10-70</x:v>
      </x:c>
      <x:c r="I118" s="48" t="str">
        <x:v>2022-10-30</x:v>
      </x:c>
      <x:c r="J118" s="48" t="str">
        <x:v>OK</x:v>
      </x:c>
    </x:row>
    <x:row r="119" ht="22" customHeight="1">
      <x:c r="A119" s="46" t="n">
        <x:v>111</x:v>
      </x:c>
      <x:c r="B119" s="46" t="str">
        <x:v>EMP-0111</x:v>
      </x:c>
      <x:c r="C119" s="41" t="str">
        <x:v>Петров Олег Павлович</x:v>
      </x:c>
      <x:c r="D119" s="41" t="str">
        <x:v>Администрация</x:v>
      </x:c>
      <x:c r="E119" s="41" t="str">
        <x:v>Руководитель офиса</x:v>
      </x:c>
      <x:c r="F119" s="44" t="n">
        <x:v>105000</x:v>
      </x:c>
      <x:c r="G119" s="41" t="str">
        <x:v>oleg.petrov.111@example.org</x:v>
      </x:c>
      <x:c r="H119" s="41" t="str">
        <x:v>+7 (949) 311-11-77</x:v>
      </x:c>
      <x:c r="I119" s="46" t="str">
        <x:v>2022-04-22</x:v>
      </x:c>
      <x:c r="J119" s="46" t="str">
        <x:v>OK</x:v>
      </x:c>
    </x:row>
    <x:row r="120" ht="22" customHeight="1">
      <x:c r="A120" s="48" t="n">
        <x:v>112</x:v>
      </x:c>
      <x:c r="B120" s="48" t="str">
        <x:v>EMP-0112</x:v>
      </x:c>
      <x:c r="C120" s="49" t="str">
        <x:v>Павлова Анна Олеговна</x:v>
      </x:c>
      <x:c r="D120" s="49" t="str">
        <x:v>Администрация</x:v>
      </x:c>
      <x:c r="E120" s="49" t="str">
        <x:v>Руководитель офиса</x:v>
      </x:c>
      <x:c r="F120" s="50" t="n">
        <x:v>85000</x:v>
      </x:c>
      <x:c r="G120" s="49" t="str">
        <x:v>anna.pavlova.112@example.org</x:v>
      </x:c>
      <x:c r="H120" s="49" t="str">
        <x:v>+7 (950) 312-12-84</x:v>
      </x:c>
      <x:c r="I120" s="48" t="str">
        <x:v>2016-01-19</x:v>
      </x:c>
      <x:c r="J120" s="48" t="str">
        <x:v>OK</x:v>
      </x:c>
    </x:row>
    <x:row r="121" ht="22" customHeight="1">
      <x:c r="A121" s="46" t="n">
        <x:v>113</x:v>
      </x:c>
      <x:c r="B121" s="46" t="str">
        <x:v>EMP-0113</x:v>
      </x:c>
      <x:c r="C121" s="41" t="str">
        <x:v>Белов Андрей Николаевич</x:v>
      </x:c>
      <x:c r="D121" s="41" t="str">
        <x:v>Администрация</x:v>
      </x:c>
      <x:c r="E121" s="41" t="str">
        <x:v>Руководитель офиса</x:v>
      </x:c>
      <x:c r="F121" s="44" t="n">
        <x:v>109000</x:v>
      </x:c>
      <x:c r="G121" s="41" t="str">
        <x:v>andrey.belov.113@example.org</x:v>
      </x:c>
      <x:c r="H121" s="41" t="str">
        <x:v>+7 (951) 313-13-91</x:v>
      </x:c>
      <x:c r="I121" s="46" t="str">
        <x:v>2019-09-12</x:v>
      </x:c>
      <x:c r="J121" s="46" t="str">
        <x:v>OK</x:v>
      </x:c>
    </x:row>
    <x:row r="122" ht="22" customHeight="1">
      <x:c r="A122" s="48" t="n">
        <x:v>114</x:v>
      </x:c>
      <x:c r="B122" s="48" t="str">
        <x:v>EMP-0114</x:v>
      </x:c>
      <x:c r="C122" s="49" t="str">
        <x:v>Кузнецова Ксения Андреевна</x:v>
      </x:c>
      <x:c r="D122" s="49" t="str">
        <x:v>Администрация</x:v>
      </x:c>
      <x:c r="E122" s="49" t="str">
        <x:v>Руководитель офиса</x:v>
      </x:c>
      <x:c r="F122" s="50" t="n">
        <x:v>105000</x:v>
      </x:c>
      <x:c r="G122" s="49" t="str">
        <x:v>kseniya.kuznetsova.114@example.org</x:v>
      </x:c>
      <x:c r="H122" s="49" t="str">
        <x:v>+7 (952) 314-14-98</x:v>
      </x:c>
      <x:c r="I122" s="48" t="str">
        <x:v>2022-10-29</x:v>
      </x:c>
      <x:c r="J122" s="48" t="str">
        <x:v>OK</x:v>
      </x:c>
    </x:row>
    <x:row r="123" ht="22" customHeight="1">
      <x:c r="A123" s="46" t="n">
        <x:v>115</x:v>
      </x:c>
      <x:c r="B123" s="46" t="str">
        <x:v>EMP-0115</x:v>
      </x:c>
      <x:c r="C123" s="41" t="str">
        <x:v>Лебедев Тимофей Викторович</x:v>
      </x:c>
      <x:c r="D123" s="41" t="str">
        <x:v>Администрация</x:v>
      </x:c>
      <x:c r="E123" s="41" t="str">
        <x:v>Руководитель офиса</x:v>
      </x:c>
      <x:c r="F123" s="44" t="n">
        <x:v>81000</x:v>
      </x:c>
      <x:c r="G123" s="41" t="str">
        <x:v>timofey.lebedev.115@example.org</x:v>
      </x:c>
      <x:c r="H123" s="41" t="str">
        <x:v>+7 (948) 315-15-05</x:v>
      </x:c>
      <x:c r="I123" s="46" t="str">
        <x:v>2015-06-17</x:v>
      </x:c>
      <x:c r="J123" s="46" t="str">
        <x:v>OK</x:v>
      </x:c>
    </x:row>
    <x:row r="124" ht="22" customHeight="1">
      <x:c r="A124" s="48" t="n">
        <x:v>116</x:v>
      </x:c>
      <x:c r="B124" s="48" t="str">
        <x:v>EMP-0116</x:v>
      </x:c>
      <x:c r="C124" s="49" t="str">
        <x:v>Киселёва Ольга Александровна</x:v>
      </x:c>
      <x:c r="D124" s="49" t="str">
        <x:v>Администрация</x:v>
      </x:c>
      <x:c r="E124" s="49" t="str">
        <x:v>Руководитель офиса</x:v>
      </x:c>
      <x:c r="F124" s="50" t="n">
        <x:v>89000</x:v>
      </x:c>
      <x:c r="G124" s="49" t="str">
        <x:v>olga.kiseleva.116@example.org</x:v>
      </x:c>
      <x:c r="H124" s="49" t="str">
        <x:v>+7 (949) 316-16-12</x:v>
      </x:c>
      <x:c r="I124" s="48" t="str">
        <x:v>2015-12-19</x:v>
      </x:c>
      <x:c r="J124" s="48" t="str">
        <x:v>OK</x:v>
      </x:c>
    </x:row>
    <x:row r="125" ht="22" customHeight="1">
      <x:c r="A125" s="46" t="n">
        <x:v>117</x:v>
      </x:c>
      <x:c r="B125" s="46" t="str">
        <x:v>EMP-0117</x:v>
      </x:c>
      <x:c r="C125" s="41" t="str">
        <x:v>Данилов Роман Сергеевич</x:v>
      </x:c>
      <x:c r="D125" s="41" t="str">
        <x:v>Администрация</x:v>
      </x:c>
      <x:c r="E125" s="41" t="str">
        <x:v>Руководитель офиса</x:v>
      </x:c>
      <x:c r="F125" s="44" t="n">
        <x:v>97000</x:v>
      </x:c>
      <x:c r="G125" s="41" t="str">
        <x:v>roman.danilov.117@example.org</x:v>
      </x:c>
      <x:c r="H125" s="41" t="str">
        <x:v>+7 (950) 317-17-19</x:v>
      </x:c>
      <x:c r="I125" s="46" t="str">
        <x:v>2017-11-18</x:v>
      </x:c>
      <x:c r="J125" s="46" t="str">
        <x:v>OK</x:v>
      </x:c>
    </x:row>
    <x:row r="126" ht="22" customHeight="1">
      <x:c r="A126" s="48" t="n">
        <x:v>118</x:v>
      </x:c>
      <x:c r="B126" s="48" t="str">
        <x:v>EMP-0118</x:v>
      </x:c>
      <x:c r="C126" s="49" t="str">
        <x:v>Морозова Кристина Дмитриевна</x:v>
      </x:c>
      <x:c r="D126" s="49" t="str">
        <x:v>Администрация</x:v>
      </x:c>
      <x:c r="E126" s="49" t="str">
        <x:v>Руководитель офиса</x:v>
      </x:c>
      <x:c r="F126" s="50" t="n">
        <x:v>101000</x:v>
      </x:c>
      <x:c r="G126" s="49" t="str">
        <x:v>kristina.morozova.118@example.org</x:v>
      </x:c>
      <x:c r="H126" s="49" t="str">
        <x:v>+7 (951) 318-18-26</x:v>
      </x:c>
      <x:c r="I126" s="48" t="str">
        <x:v>2021-09-07</x:v>
      </x:c>
      <x:c r="J126" s="48" t="str">
        <x:v>OK</x:v>
      </x:c>
    </x:row>
    <x:row r="127" ht="22" customHeight="1">
      <x:c r="A127" s="46" t="n">
        <x:v>119</x:v>
      </x:c>
      <x:c r="B127" s="46" t="str">
        <x:v>EMP-0119</x:v>
      </x:c>
      <x:c r="C127" s="41" t="str">
        <x:v>Андреев Дмитрий Михайлович</x:v>
      </x:c>
      <x:c r="D127" s="41" t="str">
        <x:v>Администрация</x:v>
      </x:c>
      <x:c r="E127" s="41" t="str">
        <x:v>Руководитель офиса</x:v>
      </x:c>
      <x:c r="F127" s="44" t="n">
        <x:v>93000</x:v>
      </x:c>
      <x:c r="G127" s="41" t="str">
        <x:v>dmitriy.andreev.119@example.org</x:v>
      </x:c>
      <x:c r="H127" s="41" t="str">
        <x:v>+7 (952) 319-19-33</x:v>
      </x:c>
      <x:c r="I127" s="46" t="str">
        <x:v>2022-01-07</x:v>
      </x:c>
      <x:c r="J127" s="46" t="str">
        <x:v>OK</x:v>
      </x:c>
    </x:row>
    <x:row r="128" ht="22" customHeight="1">
      <x:c r="A128" s="48" t="n">
        <x:v>120</x:v>
      </x:c>
      <x:c r="B128" s="48" t="str">
        <x:v>EMP-0120</x:v>
      </x:c>
      <x:c r="C128" s="49" t="str">
        <x:v>Гаврилова Виктория Алексеевна</x:v>
      </x:c>
      <x:c r="D128" s="49" t="str">
        <x:v>Администрация</x:v>
      </x:c>
      <x:c r="E128" s="49" t="str">
        <x:v>Руководитель офиса</x:v>
      </x:c>
      <x:c r="F128" s="50" t="n">
        <x:v>97000</x:v>
      </x:c>
      <x:c r="G128" s="49" t="str">
        <x:v>viktoriya.gavrilova.120@example.org</x:v>
      </x:c>
      <x:c r="H128" s="49" t="str">
        <x:v>+7 (948) 320-20-40</x:v>
      </x:c>
      <x:c r="I128" s="48" t="str">
        <x:v>2025-01-21</x:v>
      </x:c>
      <x:c r="J128" s="48" t="str">
        <x:v>OK</x:v>
      </x:c>
    </x:row>
    <x:row r="129" ht="22" customHeight="1">
      <x:c r="A129" s="46" t="n">
        <x:v>121</x:v>
      </x:c>
      <x:c r="B129" s="46" t="str">
        <x:v>EMP-0121</x:v>
      </x:c>
      <x:c r="C129" s="41" t="str">
        <x:v>Новикова Вероника Павловна</x:v>
      </x:c>
      <x:c r="D129" s="41" t="str">
        <x:v>Логистика</x:v>
      </x:c>
      <x:c r="E129" s="41" t="str">
        <x:v>Логист</x:v>
      </x:c>
      <x:c r="F129" s="44" t="n">
        <x:v>86000</x:v>
      </x:c>
      <x:c r="G129" s="58" t="str">
        <x:v>employee.example.org</x:v>
      </x:c>
      <x:c r="H129" s="41" t="str">
        <x:v>+7 (955) 321-21-47</x:v>
      </x:c>
      <x:c r="I129" s="46" t="str">
        <x:v>2019-02-04</x:v>
      </x:c>
      <x:c r="J129" s="55" t="str">
        <x:v>Ошибка</x:v>
      </x:c>
    </x:row>
    <x:row r="130" ht="22" customHeight="1">
      <x:c r="A130" s="48" t="n">
        <x:v>122</x:v>
      </x:c>
      <x:c r="B130" s="48" t="str">
        <x:v>EMP-0122</x:v>
      </x:c>
      <x:c r="C130" s="49" t="str">
        <x:v>Николаев Арсений Олегович</x:v>
      </x:c>
      <x:c r="D130" s="49" t="str">
        <x:v>Логистика</x:v>
      </x:c>
      <x:c r="E130" s="49" t="str">
        <x:v>Логист</x:v>
      </x:c>
      <x:c r="F130" s="50" t="n">
        <x:v>94000</x:v>
      </x:c>
      <x:c r="G130" s="49" t="str">
        <x:v>arseniy.nikolaev.122@example.org</x:v>
      </x:c>
      <x:c r="H130" s="49" t="str">
        <x:v>+7 (956) 322-22-54</x:v>
      </x:c>
      <x:c r="I130" s="48" t="str">
        <x:v>2026-01-28</x:v>
      </x:c>
      <x:c r="J130" s="48" t="str">
        <x:v>OK</x:v>
      </x:c>
    </x:row>
    <x:row r="131" ht="22" customHeight="1">
      <x:c r="A131" s="46" t="n">
        <x:v>123</x:v>
      </x:c>
      <x:c r="B131" s="46" t="str">
        <x:v>EMP-0123</x:v>
      </x:c>
      <x:c r="C131" s="41" t="str">
        <x:v>Мельникова Ирина Николаевна</x:v>
      </x:c>
      <x:c r="D131" s="41" t="str">
        <x:v>Логистика</x:v>
      </x:c>
      <x:c r="E131" s="41" t="str">
        <x:v>Логист</x:v>
      </x:c>
      <x:c r="F131" s="44" t="n">
        <x:v>90000</x:v>
      </x:c>
      <x:c r="G131" s="41" t="str">
        <x:v>irina.melnikova.123@example.org</x:v>
      </x:c>
      <x:c r="H131" s="41" t="str">
        <x:v>+7 (957) 323-23-61</x:v>
      </x:c>
      <x:c r="I131" s="46" t="str">
        <x:v>2017-10-13</x:v>
      </x:c>
      <x:c r="J131" s="46" t="str">
        <x:v>OK</x:v>
      </x:c>
    </x:row>
    <x:row r="132" ht="22" customHeight="1">
      <x:c r="A132" s="48" t="n">
        <x:v>124</x:v>
      </x:c>
      <x:c r="B132" s="48" t="str">
        <x:v>EMP-0124</x:v>
      </x:c>
      <x:c r="C132" s="49" t="str">
        <x:v>Петров Владимир Андреевич</x:v>
      </x:c>
      <x:c r="D132" s="49" t="str">
        <x:v>Логистика</x:v>
      </x:c>
      <x:c r="E132" s="49" t="str">
        <x:v>Логист</x:v>
      </x:c>
      <x:c r="F132" s="50" t="n">
        <x:v>74000</x:v>
      </x:c>
      <x:c r="G132" s="49" t="str">
        <x:v>vladimir.petrov.124@example.org</x:v>
      </x:c>
      <x:c r="H132" s="49" t="str">
        <x:v>+7 (958) 324-24-68</x:v>
      </x:c>
      <x:c r="I132" s="48" t="str">
        <x:v>2015-06-09</x:v>
      </x:c>
      <x:c r="J132" s="48" t="str">
        <x:v>OK</x:v>
      </x:c>
    </x:row>
    <x:row r="133" ht="22" customHeight="1">
      <x:c r="A133" s="46" t="n">
        <x:v>125</x:v>
      </x:c>
      <x:c r="B133" s="46" t="str">
        <x:v>EMP-0125</x:v>
      </x:c>
      <x:c r="C133" s="41" t="str">
        <x:v>Павлова Марина Викторовна</x:v>
      </x:c>
      <x:c r="D133" s="41" t="str">
        <x:v>Логистика</x:v>
      </x:c>
      <x:c r="E133" s="41" t="str">
        <x:v>Логист</x:v>
      </x:c>
      <x:c r="F133" s="44" t="n">
        <x:v>90000</x:v>
      </x:c>
      <x:c r="G133" s="41" t="str">
        <x:v>marina.pavlova.125@example.org</x:v>
      </x:c>
      <x:c r="H133" s="41" t="str">
        <x:v>+7 (954) 325-25-75</x:v>
      </x:c>
      <x:c r="I133" s="46" t="str">
        <x:v>2018-09-09</x:v>
      </x:c>
      <x:c r="J133" s="46" t="str">
        <x:v>OK</x:v>
      </x:c>
    </x:row>
    <x:row r="134" ht="22" customHeight="1">
      <x:c r="A134" s="48" t="n">
        <x:v>126</x:v>
      </x:c>
      <x:c r="B134" s="48" t="str">
        <x:v>EMP-0126</x:v>
      </x:c>
      <x:c r="C134" s="49" t="str">
        <x:v>Белов Артём Александрович</x:v>
      </x:c>
      <x:c r="D134" s="49" t="str">
        <x:v>Логистика</x:v>
      </x:c>
      <x:c r="E134" s="49" t="str">
        <x:v>Логист</x:v>
      </x:c>
      <x:c r="F134" s="50" t="n">
        <x:v>62000</x:v>
      </x:c>
      <x:c r="G134" s="49" t="str">
        <x:v>artem.belov.126@example.org</x:v>
      </x:c>
      <x:c r="H134" s="49" t="str">
        <x:v>+7 (955) 326-26-82</x:v>
      </x:c>
      <x:c r="I134" s="48" t="str">
        <x:v>2018-09-26</x:v>
      </x:c>
      <x:c r="J134" s="48" t="str">
        <x:v>OK</x:v>
      </x:c>
    </x:row>
    <x:row r="135" ht="22" customHeight="1">
      <x:c r="A135" s="46" t="n">
        <x:v>127</x:v>
      </x:c>
      <x:c r="B135" s="46" t="str">
        <x:v>EMP-0127</x:v>
      </x:c>
      <x:c r="C135" s="41" t="str">
        <x:v>Кузнецова Полина Сергеевна</x:v>
      </x:c>
      <x:c r="D135" s="41" t="str">
        <x:v>Логистика</x:v>
      </x:c>
      <x:c r="E135" s="41" t="str">
        <x:v>Логист</x:v>
      </x:c>
      <x:c r="F135" s="44" t="n">
        <x:v>62000</x:v>
      </x:c>
      <x:c r="G135" s="41" t="str">
        <x:v>polina.kuznetsova.127@example.org</x:v>
      </x:c>
      <x:c r="H135" s="41" t="str">
        <x:v>+7 (956) 327-27-89</x:v>
      </x:c>
      <x:c r="I135" s="46" t="str">
        <x:v>2019-12-08</x:v>
      </x:c>
      <x:c r="J135" s="46" t="str">
        <x:v>OK</x:v>
      </x:c>
    </x:row>
    <x:row r="136" ht="22" customHeight="1">
      <x:c r="A136" s="48" t="n">
        <x:v>128</x:v>
      </x:c>
      <x:c r="B136" s="48" t="str">
        <x:v>EMP-0128</x:v>
      </x:c>
      <x:c r="C136" s="49" t="str">
        <x:v>Лебедев Олег Дмитриевич</x:v>
      </x:c>
      <x:c r="D136" s="49" t="str">
        <x:v>Логистика</x:v>
      </x:c>
      <x:c r="E136" s="49" t="str">
        <x:v>Логист</x:v>
      </x:c>
      <x:c r="F136" s="50" t="n">
        <x:v>90000</x:v>
      </x:c>
      <x:c r="G136" s="49" t="str">
        <x:v>oleg.lebedev.128@example.org</x:v>
      </x:c>
      <x:c r="H136" s="49" t="str">
        <x:v>+7 (957) 328-28-96</x:v>
      </x:c>
      <x:c r="I136" s="48" t="str">
        <x:v>2024-02-14</x:v>
      </x:c>
      <x:c r="J136" s="48" t="str">
        <x:v>OK</x:v>
      </x:c>
    </x:row>
    <x:row r="137" ht="22" customHeight="1">
      <x:c r="A137" s="46" t="n">
        <x:v>129</x:v>
      </x:c>
      <x:c r="B137" s="46" t="str">
        <x:v>EMP-0129</x:v>
      </x:c>
      <x:c r="C137" s="41" t="str">
        <x:v>Киселёва Анна Михайловна</x:v>
      </x:c>
      <x:c r="D137" s="41" t="str">
        <x:v>Логистика</x:v>
      </x:c>
      <x:c r="E137" s="41" t="str">
        <x:v>Логист</x:v>
      </x:c>
      <x:c r="F137" s="44" t="n">
        <x:v>70000</x:v>
      </x:c>
      <x:c r="G137" s="41" t="str">
        <x:v>anna.kiseleva.129@example.org</x:v>
      </x:c>
      <x:c r="H137" s="41" t="str">
        <x:v>+7 (958) 329-29-03</x:v>
      </x:c>
      <x:c r="I137" s="46" t="str">
        <x:v>2019-07-14</x:v>
      </x:c>
      <x:c r="J137" s="46" t="str">
        <x:v>OK</x:v>
      </x:c>
    </x:row>
    <x:row r="138" ht="22" customHeight="1">
      <x:c r="A138" s="48" t="n">
        <x:v>130</x:v>
      </x:c>
      <x:c r="B138" s="48" t="str">
        <x:v>EMP-0130</x:v>
      </x:c>
      <x:c r="C138" s="49" t="str">
        <x:v>Иванова Виктория Игоревна</x:v>
      </x:c>
      <x:c r="D138" s="49" t="str">
        <x:v>Информационная безопасность</x:v>
      </x:c>
      <x:c r="E138" s="49" t="str">
        <x:v>Аналитик ИБ</x:v>
      </x:c>
      <x:c r="F138" s="50" t="n">
        <x:v>122000</x:v>
      </x:c>
      <x:c r="G138" s="49" t="str">
        <x:v>viktoriya.ivanova.130@example.org</x:v>
      </x:c>
      <x:c r="H138" s="49" t="str">
        <x:v>+7 (960) 330-30-10</x:v>
      </x:c>
      <x:c r="I138" s="48" t="str">
        <x:v>2018-05-02</x:v>
      </x:c>
      <x:c r="J138" s="48" t="str">
        <x:v>OK</x:v>
      </x:c>
    </x:row>
    <x:row r="139" ht="22" customHeight="1">
      <x:c r="A139" s="46" t="n">
        <x:v>131</x:v>
      </x:c>
      <x:c r="B139" s="46" t="str">
        <x:v>EMP-0131</x:v>
      </x:c>
      <x:c r="C139" s="41" t="str">
        <x:v>Волков Денис Павлович</x:v>
      </x:c>
      <x:c r="D139" s="41" t="str">
        <x:v>Информационная безопасность</x:v>
      </x:c>
      <x:c r="E139" s="41" t="str">
        <x:v>Аналитик ИБ</x:v>
      </x:c>
      <x:c r="F139" s="44" t="n">
        <x:v>142000</x:v>
      </x:c>
      <x:c r="G139" s="41" t="str">
        <x:v>denis.volkov.131@example.org</x:v>
      </x:c>
      <x:c r="H139" s="41" t="str">
        <x:v>+7 (961) 331-31-17</x:v>
      </x:c>
      <x:c r="I139" s="46" t="str">
        <x:v>2023-01-05</x:v>
      </x:c>
      <x:c r="J139" s="46" t="str">
        <x:v>OK</x:v>
      </x:c>
    </x:row>
    <x:row r="140" ht="22" customHeight="1">
      <x:c r="A140" s="48" t="n">
        <x:v>132</x:v>
      </x:c>
      <x:c r="B140" s="48" t="str">
        <x:v>EMP-0132</x:v>
      </x:c>
      <x:c r="C140" s="49" t="str">
        <x:v>Макарова Диана Олеговна</x:v>
      </x:c>
      <x:c r="D140" s="49" t="str">
        <x:v>Информационная безопасность</x:v>
      </x:c>
      <x:c r="E140" s="49" t="str">
        <x:v>Аналитик ИБ</x:v>
      </x:c>
      <x:c r="F140" s="50" t="n">
        <x:v>126000</x:v>
      </x:c>
      <x:c r="G140" s="49" t="str">
        <x:v>diana.makarova.132@example.org</x:v>
      </x:c>
      <x:c r="H140" s="58" t="str"/>
      <x:c r="I140" s="48" t="str">
        <x:v>2022-10-27</x:v>
      </x:c>
      <x:c r="J140" s="55" t="str">
        <x:v>Ошибка</x:v>
      </x:c>
    </x:row>
    <x:row r="141" ht="22" customHeight="1">
      <x:c r="A141" s="46" t="n">
        <x:v>133</x:v>
      </x:c>
      <x:c r="B141" s="46" t="str">
        <x:v>EMP-0133</x:v>
      </x:c>
      <x:c r="C141" s="41" t="str">
        <x:v>Соловьёв Михаил Николаевич</x:v>
      </x:c>
      <x:c r="D141" s="41" t="str">
        <x:v>Информационная безопасность</x:v>
      </x:c>
      <x:c r="E141" s="41" t="str">
        <x:v>Аналитик ИБ</x:v>
      </x:c>
      <x:c r="F141" s="44" t="n">
        <x:v>150000</x:v>
      </x:c>
      <x:c r="G141" s="41" t="str">
        <x:v>mihail.solovev.133@example.org</x:v>
      </x:c>
      <x:c r="H141" s="41" t="str">
        <x:v>+7 (963) 333-33-31</x:v>
      </x:c>
      <x:c r="I141" s="46" t="str">
        <x:v>2015-07-12</x:v>
      </x:c>
      <x:c r="J141" s="46" t="str">
        <x:v>OK</x:v>
      </x:c>
    </x:row>
    <x:row r="142" ht="22" customHeight="1">
      <x:c r="A142" s="48" t="n">
        <x:v>134</x:v>
      </x:c>
      <x:c r="B142" s="48" t="str">
        <x:v>EMP-0134</x:v>
      </x:c>
      <x:c r="C142" s="49" t="str">
        <x:v>Новикова Дарья Андреевна</x:v>
      </x:c>
      <x:c r="D142" s="49" t="str">
        <x:v>Информационная безопасность</x:v>
      </x:c>
      <x:c r="E142" s="49" t="str">
        <x:v>Аналитик ИБ</x:v>
      </x:c>
      <x:c r="F142" s="50" t="n">
        <x:v>150000</x:v>
      </x:c>
      <x:c r="G142" s="49" t="str">
        <x:v>darya.novikova.134@example.org</x:v>
      </x:c>
      <x:c r="H142" s="49" t="str">
        <x:v>+7 (964) 334-34-38</x:v>
      </x:c>
      <x:c r="I142" s="48" t="str">
        <x:v>2015-07-25</x:v>
      </x:c>
      <x:c r="J142" s="48" t="str">
        <x:v>OK</x:v>
      </x:c>
    </x:row>
    <x:row r="143" ht="22" customHeight="1">
      <x:c r="A143" s="46" t="n">
        <x:v>135</x:v>
      </x:c>
      <x:c r="B143" s="46" t="str">
        <x:v>EMP-0135</x:v>
      </x:c>
      <x:c r="C143" s="41" t="str">
        <x:v>Николаев Иван Викторович</x:v>
      </x:c>
      <x:c r="D143" s="41" t="str">
        <x:v>Информационная безопасность</x:v>
      </x:c>
      <x:c r="E143" s="41" t="str">
        <x:v>Аналитик ИБ</x:v>
      </x:c>
      <x:c r="F143" s="44" t="n">
        <x:v>126000</x:v>
      </x:c>
      <x:c r="G143" s="41" t="str">
        <x:v>ivan.nikolaev.135@example.org</x:v>
      </x:c>
      <x:c r="H143" s="41" t="str">
        <x:v>+7 (960) 335-35-45</x:v>
      </x:c>
      <x:c r="I143" s="46" t="str">
        <x:v>2015-09-20</x:v>
      </x:c>
      <x:c r="J143" s="46" t="str">
        <x:v>OK</x:v>
      </x:c>
    </x:row>
    <x:row r="144" ht="22" customHeight="1">
      <x:c r="A144" s="48" t="n">
        <x:v>136</x:v>
      </x:c>
      <x:c r="B144" s="48" t="str">
        <x:v>EMP-0136</x:v>
      </x:c>
      <x:c r="C144" s="49" t="str">
        <x:v>Мельникова Мария Александровна</x:v>
      </x:c>
      <x:c r="D144" s="49" t="str">
        <x:v>Информационная безопасность</x:v>
      </x:c>
      <x:c r="E144" s="49" t="str">
        <x:v>Аналитик ИБ</x:v>
      </x:c>
      <x:c r="F144" s="50" t="n">
        <x:v>138000</x:v>
      </x:c>
      <x:c r="G144" s="49" t="str">
        <x:v>mariya.melnikova.136@example.org</x:v>
      </x:c>
      <x:c r="H144" s="49" t="str">
        <x:v>+7 (961) 336-36-52</x:v>
      </x:c>
      <x:c r="I144" s="48" t="str">
        <x:v>2015-06-28</x:v>
      </x:c>
      <x:c r="J144" s="48" t="str">
        <x:v>OK</x:v>
      </x:c>
    </x:row>
    <x:row r="145" ht="22" customHeight="1">
      <x:c r="A145" s="46" t="n">
        <x:v>137</x:v>
      </x:c>
      <x:c r="B145" s="46" t="str">
        <x:v>EMP-0137</x:v>
      </x:c>
      <x:c r="C145" s="41" t="str">
        <x:v>Петров Павел Сергеевич</x:v>
      </x:c>
      <x:c r="D145" s="41" t="str">
        <x:v>Информационная безопасность</x:v>
      </x:c>
      <x:c r="E145" s="41" t="str">
        <x:v>Аналитик ИБ</x:v>
      </x:c>
      <x:c r="F145" s="44" t="n">
        <x:v>126000</x:v>
      </x:c>
      <x:c r="G145" s="41" t="str">
        <x:v>pavel.petrov.137@example.org</x:v>
      </x:c>
      <x:c r="H145" s="41" t="str">
        <x:v>+7 (962) 337-37-59</x:v>
      </x:c>
      <x:c r="I145" s="46" t="str">
        <x:v>2023-09-20</x:v>
      </x:c>
      <x:c r="J145" s="46" t="str">
        <x:v>OK</x:v>
      </x:c>
    </x:row>
    <x:row r="146" ht="22" customHeight="1">
      <x:c r="A146" s="48" t="n">
        <x:v>138</x:v>
      </x:c>
      <x:c r="B146" s="48" t="str">
        <x:v>EMP-0138</x:v>
      </x:c>
      <x:c r="C146" s="49" t="str">
        <x:v>Козлов Олег Алексеевич</x:v>
      </x:c>
      <x:c r="D146" s="49" t="str">
        <x:v>Дизайн и продукт</x:v>
      </x:c>
      <x:c r="E146" s="49" t="str">
        <x:v>Продакт-менеджер</x:v>
      </x:c>
      <x:c r="F146" s="50" t="n">
        <x:v>123000</x:v>
      </x:c>
      <x:c r="G146" s="49" t="str">
        <x:v>oleg.kozlov.138@example.org</x:v>
      </x:c>
      <x:c r="H146" s="49" t="str">
        <x:v>+7 (969) 338-38-66</x:v>
      </x:c>
      <x:c r="I146" s="48" t="str">
        <x:v>2016-02-22</x:v>
      </x:c>
      <x:c r="J146" s="48" t="str">
        <x:v>OK</x:v>
      </x:c>
    </x:row>
    <x:row r="147" ht="22" customHeight="1">
      <x:c r="A147" s="46" t="n">
        <x:v>139</x:v>
      </x:c>
      <x:c r="B147" s="46" t="str">
        <x:v>EMP-0139</x:v>
      </x:c>
      <x:c r="C147" s="41" t="str">
        <x:v>Комарова Анна Владимировна</x:v>
      </x:c>
      <x:c r="D147" s="41" t="str">
        <x:v>Дизайн и продукт</x:v>
      </x:c>
      <x:c r="E147" s="41" t="str">
        <x:v>Продакт-менеджер</x:v>
      </x:c>
      <x:c r="F147" s="44" t="n">
        <x:v>119000</x:v>
      </x:c>
      <x:c r="G147" s="41" t="str">
        <x:v>anna.komarova.139@example.org</x:v>
      </x:c>
      <x:c r="H147" s="41" t="str">
        <x:v>+7 (970) 339-39-73</x:v>
      </x:c>
      <x:c r="I147" s="46" t="str">
        <x:v>2015-07-27</x:v>
      </x:c>
      <x:c r="J147" s="46" t="str">
        <x:v>OK</x:v>
      </x:c>
    </x:row>
    <x:row r="148" ht="22" customHeight="1">
      <x:c r="A148" s="48" t="n">
        <x:v>140</x:v>
      </x:c>
      <x:c r="B148" s="48" t="str">
        <x:v>EMP-0140</x:v>
      </x:c>
      <x:c r="C148" s="49" t="str">
        <x:v>Попов Андрей Игоревич</x:v>
      </x:c>
      <x:c r="D148" s="49" t="str">
        <x:v>Дизайн и продукт</x:v>
      </x:c>
      <x:c r="E148" s="49" t="str">
        <x:v>Продакт-менеджер</x:v>
      </x:c>
      <x:c r="F148" s="50" t="n">
        <x:v>119000</x:v>
      </x:c>
      <x:c r="G148" s="49" t="str">
        <x:v>andrey.popov.140@example.org</x:v>
      </x:c>
      <x:c r="H148" s="49" t="str">
        <x:v>+7 (966) 340-40-80</x:v>
      </x:c>
      <x:c r="I148" s="48" t="str">
        <x:v>2023-10-05</x:v>
      </x:c>
      <x:c r="J148" s="48" t="str">
        <x:v>OK</x:v>
      </x:c>
    </x:row>
    <x:row r="149" ht="22" customHeight="1">
      <x:c r="A149" s="46" t="n">
        <x:v>141</x:v>
      </x:c>
      <x:c r="B149" s="46" t="str">
        <x:v>EMP-0141</x:v>
      </x:c>
      <x:c r="C149" s="41" t="str">
        <x:v>Семёнова Ксения Павловна</x:v>
      </x:c>
      <x:c r="D149" s="41" t="str">
        <x:v>Дизайн и продукт</x:v>
      </x:c>
      <x:c r="E149" s="41" t="str">
        <x:v>Продакт-менеджер</x:v>
      </x:c>
      <x:c r="F149" s="44" t="n">
        <x:v>111000</x:v>
      </x:c>
      <x:c r="G149" s="41" t="str">
        <x:v>kseniya.semenova.141@example.org</x:v>
      </x:c>
      <x:c r="H149" s="41" t="str">
        <x:v>+7 (967) 341-41-87</x:v>
      </x:c>
      <x:c r="I149" s="46" t="str">
        <x:v>2023-02-17</x:v>
      </x:c>
      <x:c r="J149" s="46" t="str">
        <x:v>OK</x:v>
      </x:c>
    </x:row>
    <x:row r="150" ht="22" customHeight="1">
      <x:c r="A150" s="48" t="n">
        <x:v>142</x:v>
      </x:c>
      <x:c r="B150" s="48" t="str">
        <x:v>EMP-0142</x:v>
      </x:c>
      <x:c r="C150" s="49" t="str">
        <x:v>Громов Тимофей Олегович</x:v>
      </x:c>
      <x:c r="D150" s="49" t="str">
        <x:v>Дизайн и продукт</x:v>
      </x:c>
      <x:c r="E150" s="49" t="str">
        <x:v>Продакт-менеджер</x:v>
      </x:c>
      <x:c r="F150" s="50" t="n">
        <x:v>131000</x:v>
      </x:c>
      <x:c r="G150" s="49" t="str">
        <x:v>timofey.gromov.142@example.org</x:v>
      </x:c>
      <x:c r="H150" s="49" t="str">
        <x:v>+7 (968) 342-42-94</x:v>
      </x:c>
      <x:c r="I150" s="48" t="str">
        <x:v>2023-06-27</x:v>
      </x:c>
      <x:c r="J150" s="48" t="str">
        <x:v>OK</x:v>
      </x:c>
    </x:row>
    <x:row r="151" ht="22" customHeight="1">
      <x:c r="A151" s="46" t="n">
        <x:v>143</x:v>
      </x:c>
      <x:c r="B151" s="46" t="str">
        <x:v>EMP-0143</x:v>
      </x:c>
      <x:c r="C151" s="41" t="str">
        <x:v>Иванова Ольга Николаевна</x:v>
      </x:c>
      <x:c r="D151" s="41" t="str">
        <x:v>Дизайн и продукт</x:v>
      </x:c>
      <x:c r="E151" s="41" t="str">
        <x:v>Продакт-менеджер</x:v>
      </x:c>
      <x:c r="F151" s="44" t="n">
        <x:v>135000</x:v>
      </x:c>
      <x:c r="G151" s="58" t="str">
        <x:v>employee@invalid</x:v>
      </x:c>
      <x:c r="H151" s="41" t="str">
        <x:v>+7 (969) 343-43-01</x:v>
      </x:c>
      <x:c r="I151" s="46" t="str">
        <x:v>2019-04-16</x:v>
      </x:c>
      <x:c r="J151" s="55" t="str">
        <x:v>Ошибка</x:v>
      </x:c>
    </x:row>
    <x:row r="152" ht="22" customHeight="1">
      <x:c r="A152" s="48" t="n">
        <x:v>144</x:v>
      </x:c>
      <x:c r="B152" s="48" t="str">
        <x:v>EMP-0144</x:v>
      </x:c>
      <x:c r="C152" s="49" t="str">
        <x:v>Волков Роман Андреевич</x:v>
      </x:c>
      <x:c r="D152" s="49" t="str">
        <x:v>Дизайн и продукт</x:v>
      </x:c>
      <x:c r="E152" s="49" t="str">
        <x:v>Продакт-менеджер</x:v>
      </x:c>
      <x:c r="F152" s="50" t="n">
        <x:v>127000</x:v>
      </x:c>
      <x:c r="G152" s="49" t="str">
        <x:v>roman.volkov.144@example.org</x:v>
      </x:c>
      <x:c r="H152" s="49" t="str">
        <x:v>+7 (970) 344-44-08</x:v>
      </x:c>
      <x:c r="I152" s="48" t="str">
        <x:v>2023-10-05</x:v>
      </x:c>
      <x:c r="J152" s="48" t="str">
        <x:v>OK</x:v>
      </x:c>
    </x:row>
  </x:sheetData>
  <x:mergeCells>
    <x:mergeCell ref="A1:J2"/>
    <x:mergeCell ref="A3:J3"/>
    <x:mergeCell ref="A5:B5"/>
    <x:mergeCell ref="A6:B6"/>
    <x:mergeCell ref="D5:E5"/>
    <x:mergeCell ref="D6:E6"/>
    <x:mergeCell ref="G5:H5"/>
    <x:mergeCell ref="G6:H6"/>
    <x:mergeCell ref="I5:J5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20" hidden="0" customWidth="1"/>
    <x:col min="4" max="4" width="20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АНАЛИТИКА / СТРУКТУРА КОМАНДЫ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7" customHeight="1">
      <x:c r="A3" s="11" t="str">
        <x:v>ПОКАЗАТЕЛИ ФОРМИРУЮТСЯ ПО ДАННЫМ ЛИСТА «СОТРУДНИКИ»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4" ht="10" customHeight="1"/>
    <x:row r="5" ht="22" customHeight="1">
      <x:c r="A5" s="17" t="str">
        <x:v>ЧИСЛЕННОСТЬ</x:v>
      </x:c>
      <x:c r="B5" s="17"/>
      <x:c r="C5" s="17" t="str">
        <x:v>ФОНД ОКЛАДОВ</x:v>
      </x:c>
      <x:c r="D5" s="17"/>
    </x:row>
    <x:row r="6" ht="34" customHeight="1">
      <x:c r="A6" s="24" t="n">
        <x:f>COUNTA(Сотрудники!B9:B2000)</x:f>
        <x:v>144</x:v>
      </x:c>
      <x:c r="B6" s="24"/>
      <x:c r="C6" s="28" t="n">
        <x:f>SUM(Сотрудники!F9:F2000)</x:f>
        <x:v>14889000</x:v>
      </x:c>
      <x:c r="D6" s="24"/>
    </x:row>
    <x:row r="8" ht="32" customHeight="1">
      <x:c r="A8" s="63" t="str">
        <x:v>Отдел</x:v>
      </x:c>
      <x:c r="B8" s="63" t="str">
        <x:v>Сотрудников</x:v>
      </x:c>
      <x:c r="C8" s="63" t="str">
        <x:v>Фонд окладов, ₽</x:v>
      </x:c>
      <x:c r="D8" s="63" t="str">
        <x:v>Средний оклад, ₽</x:v>
      </x:c>
    </x:row>
    <x:row r="9" ht="26" customHeight="1">
      <x:c r="A9" s="69" t="str">
        <x:v>HR и обучение</x:v>
      </x:c>
      <x:c r="B9" s="69" t="n">
        <x:f>COUNTIF(Сотрудники!$D$9:$D$2000,A9)</x:f>
        <x:v>11</x:v>
      </x:c>
      <x:c r="C9" s="74" t="n">
        <x:f>SUMIF(Сотрудники!$D$9:$D$2000,A9,Сотрудники!$F$9:$F$2000)</x:f>
        <x:v>862000</x:v>
      </x:c>
      <x:c r="D9" s="74" t="n">
        <x:f>IFERROR(C9/B9,0)</x:f>
        <x:v>78363.63636363637</x:v>
      </x:c>
    </x:row>
    <x:row r="10" ht="26" customHeight="1">
      <x:c r="A10" s="72" t="str">
        <x:v>Администрация</x:v>
      </x:c>
      <x:c r="B10" s="72" t="n">
        <x:f>COUNTIF(Сотрудники!$D$9:$D$2000,A10)</x:f>
        <x:v>10</x:v>
      </x:c>
      <x:c r="C10" s="75" t="n">
        <x:f>SUMIF(Сотрудники!$D$9:$D$2000,A10,Сотрудники!$F$9:$F$2000)</x:f>
        <x:v>962000</x:v>
      </x:c>
      <x:c r="D10" s="75" t="n">
        <x:f>IFERROR(C10/B10,0)</x:f>
        <x:v>96200</x:v>
      </x:c>
    </x:row>
    <x:row r="11" ht="26" customHeight="1">
      <x:c r="A11" s="69" t="str">
        <x:v>Аналитика</x:v>
      </x:c>
      <x:c r="B11" s="69" t="n">
        <x:f>COUNTIF(Сотрудники!$D$9:$D$2000,A11)</x:f>
        <x:v>16</x:v>
      </x:c>
      <x:c r="C11" s="74" t="n">
        <x:f>SUMIF(Сотрудники!$D$9:$D$2000,A11,Сотрудники!$F$9:$F$2000)</x:f>
        <x:v>1840000</x:v>
      </x:c>
      <x:c r="D11" s="74" t="n">
        <x:f>IFERROR(C11/B11,0)</x:f>
        <x:v>115000</x:v>
      </x:c>
    </x:row>
    <x:row r="12" ht="26" customHeight="1">
      <x:c r="A12" s="72" t="str">
        <x:v>Дизайн и продукт</x:v>
      </x:c>
      <x:c r="B12" s="72" t="n">
        <x:f>COUNTIF(Сотрудники!$D$9:$D$2000,A12)</x:f>
        <x:v>7</x:v>
      </x:c>
      <x:c r="C12" s="75" t="n">
        <x:f>SUMIF(Сотрудники!$D$9:$D$2000,A12,Сотрудники!$F$9:$F$2000)</x:f>
        <x:v>865000</x:v>
      </x:c>
      <x:c r="D12" s="75" t="n">
        <x:f>IFERROR(C12/B12,0)</x:f>
        <x:v>123571.42857142857</x:v>
      </x:c>
    </x:row>
    <x:row r="13" ht="26" customHeight="1">
      <x:c r="A13" s="69" t="str">
        <x:v>Информационная безопасность</x:v>
      </x:c>
      <x:c r="B13" s="69" t="n">
        <x:f>COUNTIF(Сотрудники!$D$9:$D$2000,A13)</x:f>
        <x:v>8</x:v>
      </x:c>
      <x:c r="C13" s="74" t="n">
        <x:f>SUMIF(Сотрудники!$D$9:$D$2000,A13,Сотрудники!$F$9:$F$2000)</x:f>
        <x:v>1080000</x:v>
      </x:c>
      <x:c r="D13" s="74" t="n">
        <x:f>IFERROR(C13/B13,0)</x:f>
        <x:v>135000</x:v>
      </x:c>
    </x:row>
    <x:row r="14" ht="26" customHeight="1">
      <x:c r="A14" s="72" t="str">
        <x:v>Клиентский сервис</x:v>
      </x:c>
      <x:c r="B14" s="72" t="n">
        <x:f>COUNTIF(Сотрудники!$D$9:$D$2000,A14)</x:f>
        <x:v>13</x:v>
      </x:c>
      <x:c r="C14" s="75" t="n">
        <x:f>SUMIF(Сотрудники!$D$9:$D$2000,A14,Сотрудники!$F$9:$F$2000)</x:f>
        <x:v>986000</x:v>
      </x:c>
      <x:c r="D14" s="75" t="n">
        <x:f>IFERROR(C14/B14,0)</x:f>
        <x:v>75846.15384615384</x:v>
      </x:c>
    </x:row>
    <x:row r="15" ht="26" customHeight="1">
      <x:c r="A15" s="69" t="str">
        <x:v>Логистика</x:v>
      </x:c>
      <x:c r="B15" s="69" t="n">
        <x:f>COUNTIF(Сотрудники!$D$9:$D$2000,A15)</x:f>
        <x:v>9</x:v>
      </x:c>
      <x:c r="C15" s="74" t="n">
        <x:f>SUMIF(Сотрудники!$D$9:$D$2000,A15,Сотрудники!$F$9:$F$2000)</x:f>
        <x:v>718000</x:v>
      </x:c>
      <x:c r="D15" s="74" t="n">
        <x:f>IFERROR(C15/B15,0)</x:f>
        <x:v>79777.77777777778</x:v>
      </x:c>
    </x:row>
    <x:row r="16" ht="26" customHeight="1">
      <x:c r="A16" s="72" t="str">
        <x:v>Маркетинг</x:v>
      </x:c>
      <x:c r="B16" s="72" t="n">
        <x:f>COUNTIF(Сотрудники!$D$9:$D$2000,A16)</x:f>
        <x:v>14</x:v>
      </x:c>
      <x:c r="C16" s="75" t="n">
        <x:f>SUMIF(Сотрудники!$D$9:$D$2000,A16,Сотрудники!$F$9:$F$2000)</x:f>
        <x:v>1334000</x:v>
      </x:c>
      <x:c r="D16" s="75" t="n">
        <x:f>IFERROR(C16/B16,0)</x:f>
        <x:v>95285.71428571429</x:v>
      </x:c>
    </x:row>
    <x:row r="17" ht="26" customHeight="1">
      <x:c r="A17" s="69" t="str">
        <x:v>Продажи</x:v>
      </x:c>
      <x:c r="B17" s="69" t="n">
        <x:f>COUNTIF(Сотрудники!$D$9:$D$2000,A17)</x:f>
        <x:v>15</x:v>
      </x:c>
      <x:c r="C17" s="74" t="n">
        <x:f>SUMIF(Сотрудники!$D$9:$D$2000,A17,Сотрудники!$F$9:$F$2000)</x:f>
        <x:v>1526000</x:v>
      </x:c>
      <x:c r="D17" s="74" t="n">
        <x:f>IFERROR(C17/B17,0)</x:f>
        <x:v>101733.33333333333</x:v>
      </x:c>
    </x:row>
    <x:row r="18" ht="26" customHeight="1">
      <x:c r="A18" s="72" t="str">
        <x:v>Разработка ПО</x:v>
      </x:c>
      <x:c r="B18" s="72" t="n">
        <x:f>COUNTIF(Сотрудники!$D$9:$D$2000,A18)</x:f>
        <x:v>18</x:v>
      </x:c>
      <x:c r="C18" s="75" t="n">
        <x:f>SUMIF(Сотрудники!$D$9:$D$2000,A18,Сотрудники!$F$9:$F$2000)</x:f>
        <x:v>2214000</x:v>
      </x:c>
      <x:c r="D18" s="75" t="n">
        <x:f>IFERROR(C18/B18,0)</x:f>
        <x:v>123000</x:v>
      </x:c>
    </x:row>
    <x:row r="19" ht="26" customHeight="1">
      <x:c r="A19" s="69" t="str">
        <x:v>Финансы</x:v>
      </x:c>
      <x:c r="B19" s="69" t="n">
        <x:f>COUNTIF(Сотрудники!$D$9:$D$2000,A19)</x:f>
        <x:v>12</x:v>
      </x:c>
      <x:c r="C19" s="74" t="n">
        <x:f>SUMIF(Сотрудники!$D$9:$D$2000,A19,Сотрудники!$F$9:$F$2000)</x:f>
        <x:v>1238000</x:v>
      </x:c>
      <x:c r="D19" s="74" t="n">
        <x:f>IFERROR(C19/B19,0)</x:f>
        <x:v>103166.66666666667</x:v>
      </x:c>
    </x:row>
    <x:row r="20" ht="26" customHeight="1">
      <x:c r="A20" s="72" t="str">
        <x:v>Юридический отдел</x:v>
      </x:c>
      <x:c r="B20" s="72" t="n">
        <x:f>COUNTIF(Сотрудники!$D$9:$D$2000,A20)</x:f>
        <x:v>11</x:v>
      </x:c>
      <x:c r="C20" s="75" t="n">
        <x:f>SUMIF(Сотрудники!$D$9:$D$2000,A20,Сотрудники!$F$9:$F$2000)</x:f>
        <x:v>1264000</x:v>
      </x:c>
      <x:c r="D20" s="75" t="n">
        <x:f>IFERROR(C20/B20,0)</x:f>
        <x:v>114909.09090909091</x:v>
      </x:c>
    </x:row>
    <x:row r="22" ht="28" customHeight="1">
      <x:c r="A22" s="78" t="str">
        <x:v>ИТОГО</x:v>
      </x:c>
      <x:c r="B22" s="78" t="n">
        <x:f>SUM(B9:B20)</x:f>
        <x:v>144</x:v>
      </x:c>
      <x:c r="C22" s="80" t="n">
        <x:f>SUM(C9:C20)</x:f>
        <x:v>14889000</x:v>
      </x:c>
      <x:c r="D22" s="78"/>
    </x:row>
  </x:sheetData>
  <x:mergeCells>
    <x:mergeCell ref="A1:M2"/>
    <x:mergeCell ref="A3:M3"/>
    <x:mergeCell ref="A5:B5"/>
    <x:mergeCell ref="A6:B6"/>
    <x:mergeCell ref="C5:D5"/>
    <x:mergeCell ref="C6:D6"/>
  </x:mergeCells>
  <x:pageMargins left="0.7" right="0.7" top="0.75" bottom="0.75" header="0.3" footer="0.3"/>
  <x:drawing xmlns:r="http://schemas.openxmlformats.org/officeDocument/2006/relationships" r:id="R7757955839bc43ff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35" hidden="0" customWidth="1"/>
    <x:col min="3" max="3" width="18" hidden="0" customWidth="1"/>
    <x:col min="4" max="4" width="43" hidden="0" customWidth="1"/>
    <x:col min="5" max="5" width="3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КАЧЕСТВО ДАННЫХ / ПРОВЕРКА КОНТАКТОВ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7" customHeight="1">
      <x:c r="A3" s="11" t="str">
        <x:v>СВОДКА ФОРМАТНЫХ ОШИБОК   •   НЕ ИСПРАВЛЯТЬ ЗНАЧЕНИЯ БЕЗ ПОДТВЕРЖДЕНИЯ</x:v>
      </x:c>
      <x:c r="B3" s="11"/>
      <x:c r="C3" s="11"/>
      <x:c r="D3" s="11"/>
      <x:c r="E3" s="11"/>
      <x:c r="F3" s="11"/>
      <x:c r="G3" s="11"/>
      <x:c r="H3" s="11"/>
    </x:row>
    <x:row r="4" ht="10" customHeight="1"/>
    <x:row r="5" ht="28" customHeight="1">
      <x:c r="A5" s="83" t="str">
        <x:v>Некорректные записи не удаляются из исходной базы.</x:v>
      </x:c>
      <x:c r="B5" s="83"/>
      <x:c r="C5" s="83"/>
      <x:c r="D5" s="83"/>
    </x:row>
    <x:row r="8" ht="30" customHeight="1">
      <x:c r="A8" s="86" t="str">
        <x:v>Код</x:v>
      </x:c>
      <x:c r="B8" s="86" t="str">
        <x:v>ФИО</x:v>
      </x:c>
      <x:c r="C8" s="86" t="str">
        <x:v>Поле</x:v>
      </x:c>
      <x:c r="D8" s="86" t="str">
        <x:v>Исходное значение</x:v>
      </x:c>
      <x:c r="E8" s="86" t="str">
        <x:v>Проблема</x:v>
      </x:c>
    </x:row>
    <x:row r="9" ht="25" customHeight="1">
      <x:c r="A9" s="69" t="str">
        <x:v>EMP-0011</x:v>
      </x:c>
      <x:c r="B9" s="69" t="str">
        <x:v>Лебедев Михаил Викторович</x:v>
      </x:c>
      <x:c r="C9" s="89" t="str">
        <x:v>Телефон</x:v>
      </x:c>
      <x:c r="D9" s="69" t="str">
        <x:v>8 (900) 000-00-11</x:v>
      </x:c>
      <x:c r="E9" s="69" t="str">
        <x:v>Неверный формат телефона</x:v>
      </x:c>
    </x:row>
    <x:row r="10" ht="25" customHeight="1">
      <x:c r="A10" s="72" t="str">
        <x:v>EMP-0018</x:v>
      </x:c>
      <x:c r="B10" s="72" t="str">
        <x:v>Степанова Ирина Игоревна</x:v>
      </x:c>
      <x:c r="C10" s="89" t="str">
        <x:v>Email</x:v>
      </x:c>
      <x:c r="D10" s="72" t="str">
        <x:v>mail-without-at.example.org</x:v>
      </x:c>
      <x:c r="E10" s="72" t="str">
        <x:v>Неверный формат адреса</x:v>
      </x:c>
    </x:row>
    <x:row r="11" ht="25" customHeight="1">
      <x:c r="A11" s="69" t="str">
        <x:v>EMP-0034</x:v>
      </x:c>
      <x:c r="B11" s="69" t="str">
        <x:v>Егоров Арсений Александрович</x:v>
      </x:c>
      <x:c r="C11" s="89" t="str">
        <x:v>Телефон</x:v>
      </x:c>
      <x:c r="D11" s="69" t="str">
        <x:v>+7 (900) 00-34-56</x:v>
      </x:c>
      <x:c r="E11" s="69" t="str">
        <x:v>Неверный формат телефона</x:v>
      </x:c>
    </x:row>
    <x:row r="12" ht="25" customHeight="1">
      <x:c r="A12" s="72" t="str">
        <x:v>EMP-0045</x:v>
      </x:c>
      <x:c r="B12" s="72" t="str">
        <x:v>Жуков Михаил Сергеевич</x:v>
      </x:c>
      <x:c r="C12" s="89" t="str">
        <x:v>Email</x:v>
      </x:c>
      <x:c r="D12" s="72" t="str">
        <x:v>employee@</x:v>
      </x:c>
      <x:c r="E12" s="72" t="str">
        <x:v>Неверный формат адреса</x:v>
      </x:c>
    </x:row>
    <x:row r="13" ht="25" customHeight="1">
      <x:c r="A13" s="69" t="str">
        <x:v>EMP-0058</x:v>
      </x:c>
      <x:c r="B13" s="69" t="str">
        <x:v>Жуков Дмитрий Алексеевич</x:v>
      </x:c>
      <x:c r="C13" s="89" t="str">
        <x:v>Телефон</x:v>
      </x:c>
      <x:c r="D13" s="69" t="str">
        <x:v>нет номера</x:v>
      </x:c>
      <x:c r="E13" s="69" t="str">
        <x:v>Неверный формат телефона</x:v>
      </x:c>
    </x:row>
    <x:row r="14" ht="25" customHeight="1">
      <x:c r="A14" s="72" t="str">
        <x:v>EMP-0066</x:v>
      </x:c>
      <x:c r="B14" s="72" t="str">
        <x:v>Морозова Полина Дмитриевна</x:v>
      </x:c>
      <x:c r="C14" s="89" t="str">
        <x:v>Email</x:v>
      </x:c>
      <x:c r="D14" s="72" t="str">
        <x:v>bad@@example.org</x:v>
      </x:c>
      <x:c r="E14" s="72" t="str">
        <x:v>Неверный формат адреса</x:v>
      </x:c>
    </x:row>
    <x:row r="15" ht="25" customHeight="1">
      <x:c r="A15" s="69" t="str">
        <x:v>EMP-0077</x:v>
      </x:c>
      <x:c r="B15" s="69" t="str">
        <x:v>Киселёва Вероника Михайловна</x:v>
      </x:c>
      <x:c r="C15" s="89" t="str">
        <x:v>Телефон</x:v>
      </x:c>
      <x:c r="D15" s="69" t="str">
        <x:v>+7 900 000-77-77</x:v>
      </x:c>
      <x:c r="E15" s="69" t="str">
        <x:v>Неверный формат телефона</x:v>
      </x:c>
    </x:row>
    <x:row r="16" ht="25" customHeight="1">
      <x:c r="A16" s="72" t="str">
        <x:v>EMP-0094</x:v>
      </x:c>
      <x:c r="B16" s="72" t="str">
        <x:v>Гаврилова Вероника Андреевна</x:v>
      </x:c>
      <x:c r="C16" s="89" t="str">
        <x:v>Email</x:v>
      </x:c>
      <x:c r="D16" s="72" t="str">
        <x:v>@example.org</x:v>
      </x:c>
      <x:c r="E16" s="72" t="str">
        <x:v>Неверный формат адреса</x:v>
      </x:c>
    </x:row>
    <x:row r="17" ht="25" customHeight="1">
      <x:c r="A17" s="69" t="str">
        <x:v>EMP-0109</x:v>
      </x:c>
      <x:c r="B17" s="69" t="str">
        <x:v>Степанова Мария Михайловна</x:v>
      </x:c>
      <x:c r="C17" s="89" t="str">
        <x:v>Телефон</x:v>
      </x:c>
      <x:c r="D17" s="69" t="str">
        <x:v>+7 (900) 000-109</x:v>
      </x:c>
      <x:c r="E17" s="69" t="str">
        <x:v>Неверный формат телефона</x:v>
      </x:c>
    </x:row>
    <x:row r="18" ht="25" customHeight="1">
      <x:c r="A18" s="72" t="str">
        <x:v>EMP-0121</x:v>
      </x:c>
      <x:c r="B18" s="72" t="str">
        <x:v>Новикова Вероника Павловна</x:v>
      </x:c>
      <x:c r="C18" s="89" t="str">
        <x:v>Email</x:v>
      </x:c>
      <x:c r="D18" s="72" t="str">
        <x:v>employee.example.org</x:v>
      </x:c>
      <x:c r="E18" s="72" t="str">
        <x:v>Неверный формат адреса</x:v>
      </x:c>
    </x:row>
    <x:row r="19" ht="25" customHeight="1">
      <x:c r="A19" s="69" t="str">
        <x:v>EMP-0132</x:v>
      </x:c>
      <x:c r="B19" s="69" t="str">
        <x:v>Макарова Диана Олеговна</x:v>
      </x:c>
      <x:c r="C19" s="89" t="str">
        <x:v>Телефон</x:v>
      </x:c>
      <x:c r="D19" s="69" t="str">
        <x:v>(не указан)</x:v>
      </x:c>
      <x:c r="E19" s="69" t="str">
        <x:v>Неверный формат телефона</x:v>
      </x:c>
    </x:row>
    <x:row r="20" ht="25" customHeight="1">
      <x:c r="A20" s="72" t="str">
        <x:v>EMP-0143</x:v>
      </x:c>
      <x:c r="B20" s="72" t="str">
        <x:v>Иванова Ольга Николаевна</x:v>
      </x:c>
      <x:c r="C20" s="89" t="str">
        <x:v>Email</x:v>
      </x:c>
      <x:c r="D20" s="72" t="str">
        <x:v>employee@invalid</x:v>
      </x:c>
      <x:c r="E20" s="72" t="str">
        <x:v>Неверный формат адреса</x:v>
      </x:c>
    </x:row>
  </x:sheetData>
  <x:mergeCells>
    <x:mergeCell ref="A1:H2"/>
    <x:mergeCell ref="A3:H3"/>
    <x:mergeCell ref="A5:D5"/>
  </x:mergeCells>
  <x:pageMargins left="0.7" right="0.7" top="0.75" bottom="0.75" header="0.3" footer="0.3"/>
</x:worksheet>
</file>